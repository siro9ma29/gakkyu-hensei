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引継ぎ入力" sheetId="1" state="visible" r:id="rId1"/>
    <sheet xmlns:r="http://schemas.openxmlformats.org/officeDocument/2006/relationships" name="記入例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8">
    <font>
      <name val="游ゴシック"/>
      <charset val="128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BIZ UDPゴシック"/>
      <charset val="128"/>
      <family val="3"/>
      <b val="1"/>
      <sz val="14"/>
    </font>
    <font>
      <name val="Noto Sans CJK SC"/>
      <family val="2"/>
      <color rgb="FF808080"/>
      <sz val="9"/>
    </font>
    <font>
      <name val="BIZ UDPゴシック"/>
      <charset val="128"/>
      <family val="3"/>
      <color rgb="FF808080"/>
      <sz val="9"/>
    </font>
    <font>
      <name val="Noto Sans CJK SC"/>
      <family val="2"/>
      <b val="1"/>
      <color rgb="FFFFFFFF"/>
      <sz val="10"/>
    </font>
    <font>
      <name val="BIZ UDPゴシック"/>
      <charset val="128"/>
      <family val="3"/>
      <b val="1"/>
      <sz val="10"/>
    </font>
    <font>
      <name val="Noto Sans CJK SC"/>
      <family val="2"/>
      <b val="1"/>
      <sz val="10"/>
    </font>
    <font>
      <name val="BIZ UDPゴシック"/>
      <charset val="128"/>
      <family val="3"/>
      <sz val="10"/>
    </font>
    <font>
      <name val="Noto Sans CJK SC"/>
      <family val="2"/>
      <sz val="9"/>
    </font>
    <font>
      <name val="BIZ UDPゴシック"/>
      <charset val="128"/>
      <family val="3"/>
      <sz val="9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sz val="12"/>
    </font>
    <font>
      <name val="BIZ UDPゴシック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/>
      <diagonal/>
    </border>
    <border>
      <left/>
      <right style="medium">
        <color rgb="FFBF9000"/>
      </right>
      <top style="medium">
        <color rgb="FFBF9000"/>
      </top>
      <bottom/>
      <diagonal/>
    </border>
    <border>
      <left/>
      <right style="medium">
        <color rgb="FFBF9000"/>
      </right>
      <top/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/>
      <right style="medium">
        <color rgb="FFBF9000"/>
      </right>
      <top/>
      <bottom style="medium">
        <color rgb="FFBF9000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0" fillId="3" borderId="3" applyAlignment="1" pivotButton="0" quotePrefix="0" xfId="0">
      <alignment horizontal="general" vertical="bottom"/>
    </xf>
    <xf numFmtId="0" fontId="17" fillId="0" borderId="3" applyAlignment="1" pivotButton="0" quotePrefix="0" xfId="0">
      <alignment horizontal="general" vertical="bottom"/>
    </xf>
    <xf numFmtId="0" fontId="17" fillId="5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14" fillId="5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6" fillId="0" borderId="0" applyAlignment="1" pivotButton="0" quotePrefix="0" xfId="0">
      <alignment horizontal="general" vertical="bottom"/>
    </xf>
    <xf numFmtId="0" fontId="10" fillId="3" borderId="3" applyAlignment="1" pivotButton="0" quotePrefix="0" xfId="0">
      <alignment horizontal="general" vertical="bottom"/>
    </xf>
    <xf numFmtId="0" fontId="17" fillId="0" borderId="3" applyAlignment="1" pivotButton="0" quotePrefix="0" xfId="0">
      <alignment horizontal="general" vertical="bottom"/>
    </xf>
    <xf numFmtId="0" fontId="17" fillId="5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14" fillId="5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AP4" authorId="0" shapeId="0">
      <text>
        <t>自動判定と実態が合わないときだけ 1〜3 を入力します。空欄なら自動判定を使います。</t>
      </text>
    </comment>
    <comment ref="AS4" authorId="0" shapeId="0">
      <text>
        <t>自動判定と実態が合わないときだけ 1〜3 を入力します。空欄なら自動判定を使います。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S1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8" zeroHeight="0" outlineLevelRow="0"/>
  <cols>
    <col width="6" customWidth="1" style="19" min="1" max="1"/>
    <col width="15" customWidth="1" style="19" min="2" max="3"/>
    <col width="12" customWidth="1" style="19" min="4" max="4"/>
    <col width="6" customWidth="1" style="19" min="5" max="5"/>
    <col width="14" customWidth="1" style="19" min="6" max="7"/>
    <col width="26" customWidth="1" style="19" min="8" max="8"/>
    <col width="15" customWidth="1" style="19" min="9" max="9"/>
    <col width="12" customWidth="1" style="19" min="10" max="16"/>
    <col width="16" customWidth="1" style="19" min="17" max="17"/>
    <col width="30" customWidth="1" style="19" min="18" max="18"/>
    <col width="20" customWidth="1" style="19" min="19" max="22"/>
    <col width="20" customWidth="1" style="20" min="20" max="20"/>
    <col width="20" customWidth="1" style="20" min="21" max="21"/>
    <col width="20" customWidth="1" style="20" min="22" max="22"/>
    <col width="24" customWidth="1" style="19" min="23" max="23"/>
    <col width="10" customWidth="1" style="19" min="24" max="24"/>
    <col width="22" customWidth="1" style="19" min="25" max="26"/>
    <col width="12" customWidth="1" style="19" min="27" max="27"/>
    <col width="13" customWidth="1" style="19" min="28" max="32"/>
    <col width="14" customWidth="1" style="19" min="33" max="33"/>
    <col width="30" customWidth="1" style="19" min="34" max="34"/>
    <col width="12" customWidth="1" style="19" min="35" max="35"/>
    <col width="10" customWidth="1" style="19" min="36" max="36"/>
    <col width="20" customWidth="1" style="19" min="37" max="37"/>
    <col width="30" customWidth="1" style="19" min="38" max="38"/>
    <col width="9" customWidth="1" style="19" min="39" max="40"/>
    <col width="11" customWidth="1" style="19" min="41" max="42"/>
    <col width="9" customWidth="1" style="19" min="43" max="43"/>
    <col width="13" customWidth="1" style="19" min="44" max="45"/>
  </cols>
  <sheetData>
    <row r="1" ht="18.75" customHeight="1" s="20">
      <c r="A1" s="21" t="inlineStr">
        <is>
          <t>新1年生　就学前引継ぎシート（入力）</t>
        </is>
      </c>
    </row>
    <row r="2" ht="18" customHeight="1" s="20">
      <c r="A2" s="22" t="inlineStr">
        <is>
          <t>薄い黄色＝入力欄（プルダウンから選ぶか直接入力）　／　薄い緑＝自動計算（さわらない）　／　「確定」列は自動判定を変えたいときだけ 1〜3 を入力。1人1行・ID と氏名は必ず入力</t>
        </is>
      </c>
    </row>
    <row r="3" ht="18" customHeight="1" s="20">
      <c r="A3" s="23" t="inlineStr">
        <is>
          <t>基本情報</t>
        </is>
      </c>
      <c r="J3" s="23" t="inlineStr">
        <is>
          <t>Ａ 行動・発達</t>
        </is>
      </c>
      <c r="S3" s="23" t="inlineStr">
        <is>
          <t>Ｂ 生活面</t>
        </is>
      </c>
      <c r="X3" s="23" t="inlineStr">
        <is>
          <t>Ｃ 人間関係</t>
        </is>
      </c>
      <c r="AB3" s="23" t="inlineStr">
        <is>
          <t>Ｅ 家庭・保護者</t>
        </is>
      </c>
      <c r="AI3" s="23" t="inlineStr">
        <is>
          <t>Ｄ 総合</t>
        </is>
      </c>
      <c r="AM3" s="23" t="inlineStr">
        <is>
          <t>自動判定（聞き取りシートの判定ルール）</t>
        </is>
      </c>
    </row>
    <row r="4" ht="39.75" customHeight="1" s="20">
      <c r="A4" s="24" t="inlineStr">
        <is>
          <t>ID</t>
        </is>
      </c>
      <c r="B4" s="25" t="inlineStr">
        <is>
          <t>かな氏名</t>
        </is>
      </c>
      <c r="C4" s="25" t="inlineStr">
        <is>
          <t>漢字氏名</t>
        </is>
      </c>
      <c r="D4" s="25" t="inlineStr">
        <is>
          <t>生年月日</t>
        </is>
      </c>
      <c r="E4" s="25" t="inlineStr">
        <is>
          <t>性別</t>
        </is>
      </c>
      <c r="F4" s="25" t="inlineStr">
        <is>
          <t>所属園</t>
        </is>
      </c>
      <c r="G4" s="25" t="inlineStr">
        <is>
          <t>保護者氏名</t>
        </is>
      </c>
      <c r="H4" s="25" t="inlineStr">
        <is>
          <t>住所</t>
        </is>
      </c>
      <c r="I4" s="25" t="inlineStr">
        <is>
          <t>就学先</t>
        </is>
      </c>
      <c r="J4" s="25" t="inlineStr">
        <is>
          <t>多動・注意散漫</t>
        </is>
      </c>
      <c r="K4" s="25" t="inlineStr">
        <is>
          <t>離席・行動の逸脱</t>
        </is>
      </c>
      <c r="L4" s="25" t="inlineStr">
        <is>
          <t>指示の理解</t>
        </is>
      </c>
      <c r="M4" s="25" t="inlineStr">
        <is>
          <t>コミュニケーション</t>
        </is>
      </c>
      <c r="N4" s="25" t="inlineStr">
        <is>
          <t>こだわり・切り替え</t>
        </is>
      </c>
      <c r="O4" s="25" t="inlineStr">
        <is>
          <t>感覚の過敏さ</t>
        </is>
      </c>
      <c r="P4" s="25" t="inlineStr">
        <is>
          <t>情緒・緊張</t>
        </is>
      </c>
      <c r="Q4" s="25" t="inlineStr">
        <is>
          <t>支援への反応</t>
        </is>
      </c>
      <c r="R4" s="25" t="inlineStr">
        <is>
          <t>Ａ補足（具体的な様子）</t>
        </is>
      </c>
      <c r="S4" s="25" t="inlineStr">
        <is>
          <t>排せつ</t>
        </is>
      </c>
      <c r="T4" s="25" t="inlineStr">
        <is>
          <t>食事</t>
        </is>
      </c>
      <c r="U4" s="25" t="inlineStr">
        <is>
          <t>着替え・身支度</t>
        </is>
      </c>
      <c r="V4" s="25" t="inlineStr">
        <is>
          <t>片付け・整理</t>
        </is>
      </c>
      <c r="W4" s="25" t="inlineStr">
        <is>
          <t>健康面（記述）</t>
        </is>
      </c>
      <c r="X4" s="25" t="inlineStr">
        <is>
          <t>リーダー性</t>
        </is>
      </c>
      <c r="Y4" s="25" t="inlineStr">
        <is>
          <t>仲の良い子（氏名）</t>
        </is>
      </c>
      <c r="Z4" s="25" t="inlineStr">
        <is>
          <t>離したほうがよい子（氏名）</t>
        </is>
      </c>
      <c r="AA4" s="25" t="inlineStr">
        <is>
          <t>トラブルの傾向</t>
        </is>
      </c>
      <c r="AB4" s="25" t="inlineStr">
        <is>
          <t>連絡・要望の頻度</t>
        </is>
      </c>
      <c r="AC4" s="25" t="inlineStr">
        <is>
          <t>伝達の通りやすさ</t>
        </is>
      </c>
      <c r="AD4" s="25" t="inlineStr">
        <is>
          <t>提出物・送迎</t>
        </is>
      </c>
      <c r="AE4" s="25" t="inlineStr">
        <is>
          <t>状況認識の差</t>
        </is>
      </c>
      <c r="AF4" s="25" t="inlineStr">
        <is>
          <t>就学・発達の相談歴</t>
        </is>
      </c>
      <c r="AG4" s="25" t="inlineStr">
        <is>
          <t>きょうだいの在籍</t>
        </is>
      </c>
      <c r="AH4" s="25" t="inlineStr">
        <is>
          <t>家庭状況で配慮が必要な点</t>
        </is>
      </c>
      <c r="AI4" s="25" t="inlineStr">
        <is>
          <t>特に気をつけてほしい児童</t>
        </is>
      </c>
      <c r="AJ4" s="25" t="inlineStr">
        <is>
          <t>支援機関の利用</t>
        </is>
      </c>
      <c r="AK4" s="25" t="inlineStr">
        <is>
          <t>支援機関名・診断名</t>
        </is>
      </c>
      <c r="AL4" s="25" t="inlineStr">
        <is>
          <t>園から特に伝えたいこと</t>
        </is>
      </c>
      <c r="AM4" s="26" t="inlineStr">
        <is>
          <t>◎の数（A・B・トラブル）</t>
        </is>
      </c>
      <c r="AN4" s="26" t="inlineStr">
        <is>
          <t>○の数（A・B・トラブル）</t>
        </is>
      </c>
      <c r="AO4" s="26" t="inlineStr">
        <is>
          <t>配慮レベル（自動）</t>
        </is>
      </c>
      <c r="AP4" s="26" t="inlineStr">
        <is>
          <t>配慮レベル（確定）</t>
        </is>
      </c>
      <c r="AQ4" s="26" t="inlineStr">
        <is>
          <t>保護者◎の数（E欄4項目）</t>
        </is>
      </c>
      <c r="AR4" s="26" t="inlineStr">
        <is>
          <t>保護者対応レベル（自動）</t>
        </is>
      </c>
      <c r="AS4" s="26" t="inlineStr">
        <is>
          <t>保護者対応レベル（確定）</t>
        </is>
      </c>
    </row>
    <row r="5" ht="18" customHeight="1" s="20">
      <c r="A5" s="27" t="n"/>
      <c r="B5" s="27" t="n"/>
      <c r="C5" s="27" t="n"/>
      <c r="D5" s="27" t="n"/>
      <c r="E5" s="27" t="n"/>
      <c r="F5" s="27" t="n"/>
      <c r="G5" s="27" t="n"/>
      <c r="H5" s="28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8" t="n"/>
      <c r="S5" s="27" t="n"/>
      <c r="T5" s="27" t="n"/>
      <c r="U5" s="27" t="n"/>
      <c r="V5" s="27" t="n"/>
      <c r="W5" s="28" t="n"/>
      <c r="X5" s="27" t="n"/>
      <c r="Y5" s="28" t="n"/>
      <c r="Z5" s="28" t="n"/>
      <c r="AA5" s="27" t="n"/>
      <c r="AB5" s="27" t="n"/>
      <c r="AC5" s="27" t="n"/>
      <c r="AD5" s="27" t="n"/>
      <c r="AE5" s="27" t="n"/>
      <c r="AF5" s="27" t="n"/>
      <c r="AG5" s="27" t="n"/>
      <c r="AH5" s="28" t="n"/>
      <c r="AI5" s="27" t="n"/>
      <c r="AJ5" s="27" t="n"/>
      <c r="AK5" s="28" t="n"/>
      <c r="AL5" s="28" t="n"/>
      <c r="AM5" s="29">
        <f>IF($C5="","",COUNTIF(J5:P5,"要支援")+COUNTIF(Q5,"声かけでは変化なし")+COUNTIF(Q5,"支援を拒む・抵抗する")+COUNTIF(S5,"失敗が多い・援助が必要")+COUNTIF(T5,"偏食が強い・援助が必要")+COUNTIF(U5,"手伝いが必要")+COUNTIF(V5,"手伝いが必要")+COUNTIF(AA5,"よくある"))</f>
        <v/>
      </c>
      <c r="AN5" s="29">
        <f>IF($C5="","",COUNTIF(J5:P5,"見守り")+COUNTIF(Q5,"手を添える等が必要")+COUNTIF(S5,"ときどき失敗がある")+COUNTIF(T5,"偏食や時間がかかる")+COUNTIF(U5,"声かけでできる")+COUNTIF(V5,"声かけでできる")+COUNTIF(AA5,"ときどきある"))</f>
        <v/>
      </c>
      <c r="AO5" s="29">
        <f>IF($C5="","",IF(AM5&gt;=2,3,IF(OR(AM5=1,AN5&gt;=3),2,1)))</f>
        <v/>
      </c>
      <c r="AP5" s="27" t="n"/>
      <c r="AQ5" s="29">
        <f>IF($C5="","",COUNTIF(AB5,"非常に多い")+COUNTIF(AC5,"難しい")+COUNTIF(AD5,"不備が多い")+COUNTIF(AE5,"大きな差がある"))</f>
        <v/>
      </c>
      <c r="AR5" s="29">
        <f>IF($C5="","",IF(AQ5&gt;=3,3,IF(AQ5&gt;=2,2,1)))</f>
        <v/>
      </c>
      <c r="AS5" s="27" t="n"/>
    </row>
    <row r="6" ht="18" customHeight="1" s="20">
      <c r="A6" s="27" t="n"/>
      <c r="B6" s="27" t="n"/>
      <c r="C6" s="27" t="n"/>
      <c r="D6" s="27" t="n"/>
      <c r="E6" s="27" t="n"/>
      <c r="F6" s="27" t="n"/>
      <c r="G6" s="27" t="n"/>
      <c r="H6" s="28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27" t="n"/>
      <c r="T6" s="27" t="n"/>
      <c r="U6" s="27" t="n"/>
      <c r="V6" s="27" t="n"/>
      <c r="W6" s="28" t="n"/>
      <c r="X6" s="27" t="n"/>
      <c r="Y6" s="28" t="n"/>
      <c r="Z6" s="28" t="n"/>
      <c r="AA6" s="27" t="n"/>
      <c r="AB6" s="27" t="n"/>
      <c r="AC6" s="27" t="n"/>
      <c r="AD6" s="27" t="n"/>
      <c r="AE6" s="27" t="n"/>
      <c r="AF6" s="27" t="n"/>
      <c r="AG6" s="27" t="n"/>
      <c r="AH6" s="28" t="n"/>
      <c r="AI6" s="27" t="n"/>
      <c r="AJ6" s="27" t="n"/>
      <c r="AK6" s="28" t="n"/>
      <c r="AL6" s="28" t="n"/>
      <c r="AM6" s="29">
        <f>IF($C6="","",COUNTIF(J6:P6,"要支援")+COUNTIF(Q6,"声かけでは変化なし")+COUNTIF(Q6,"支援を拒む・抵抗する")+COUNTIF(S6,"失敗が多い・援助が必要")+COUNTIF(T6,"偏食が強い・援助が必要")+COUNTIF(U6,"手伝いが必要")+COUNTIF(V6,"手伝いが必要")+COUNTIF(AA6,"よくある"))</f>
        <v/>
      </c>
      <c r="AN6" s="29">
        <f>IF($C6="","",COUNTIF(J6:P6,"見守り")+COUNTIF(Q6,"手を添える等が必要")+COUNTIF(S6,"ときどき失敗がある")+COUNTIF(T6,"偏食や時間がかかる")+COUNTIF(U6,"声かけでできる")+COUNTIF(V6,"声かけでできる")+COUNTIF(AA6,"ときどきある"))</f>
        <v/>
      </c>
      <c r="AO6" s="29">
        <f>IF($C6="","",IF(AM6&gt;=2,3,IF(OR(AM6=1,AN6&gt;=3),2,1)))</f>
        <v/>
      </c>
      <c r="AP6" s="27" t="n"/>
      <c r="AQ6" s="29">
        <f>IF($C6="","",COUNTIF(AB6,"非常に多い")+COUNTIF(AC6,"難しい")+COUNTIF(AD6,"不備が多い")+COUNTIF(AE6,"大きな差がある"))</f>
        <v/>
      </c>
      <c r="AR6" s="29">
        <f>IF($C6="","",IF(AQ6&gt;=3,3,IF(AQ6&gt;=2,2,1)))</f>
        <v/>
      </c>
      <c r="AS6" s="27" t="n"/>
    </row>
    <row r="7" ht="18" customHeight="1" s="20">
      <c r="A7" s="27" t="n"/>
      <c r="B7" s="27" t="n"/>
      <c r="C7" s="27" t="n"/>
      <c r="D7" s="27" t="n"/>
      <c r="E7" s="27" t="n"/>
      <c r="F7" s="27" t="n"/>
      <c r="G7" s="27" t="n"/>
      <c r="H7" s="28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27" t="n"/>
      <c r="T7" s="27" t="n"/>
      <c r="U7" s="27" t="n"/>
      <c r="V7" s="27" t="n"/>
      <c r="W7" s="28" t="n"/>
      <c r="X7" s="27" t="n"/>
      <c r="Y7" s="28" t="n"/>
      <c r="Z7" s="28" t="n"/>
      <c r="AA7" s="27" t="n"/>
      <c r="AB7" s="27" t="n"/>
      <c r="AC7" s="27" t="n"/>
      <c r="AD7" s="27" t="n"/>
      <c r="AE7" s="27" t="n"/>
      <c r="AF7" s="27" t="n"/>
      <c r="AG7" s="27" t="n"/>
      <c r="AH7" s="28" t="n"/>
      <c r="AI7" s="27" t="n"/>
      <c r="AJ7" s="27" t="n"/>
      <c r="AK7" s="28" t="n"/>
      <c r="AL7" s="28" t="n"/>
      <c r="AM7" s="29">
        <f>IF($C7="","",COUNTIF(J7:P7,"要支援")+COUNTIF(Q7,"声かけでは変化なし")+COUNTIF(Q7,"支援を拒む・抵抗する")+COUNTIF(S7,"失敗が多い・援助が必要")+COUNTIF(T7,"偏食が強い・援助が必要")+COUNTIF(U7,"手伝いが必要")+COUNTIF(V7,"手伝いが必要")+COUNTIF(AA7,"よくある"))</f>
        <v/>
      </c>
      <c r="AN7" s="29">
        <f>IF($C7="","",COUNTIF(J7:P7,"見守り")+COUNTIF(Q7,"手を添える等が必要")+COUNTIF(S7,"ときどき失敗がある")+COUNTIF(T7,"偏食や時間がかかる")+COUNTIF(U7,"声かけでできる")+COUNTIF(V7,"声かけでできる")+COUNTIF(AA7,"ときどきある"))</f>
        <v/>
      </c>
      <c r="AO7" s="29">
        <f>IF($C7="","",IF(AM7&gt;=2,3,IF(OR(AM7=1,AN7&gt;=3),2,1)))</f>
        <v/>
      </c>
      <c r="AP7" s="27" t="n"/>
      <c r="AQ7" s="29">
        <f>IF($C7="","",COUNTIF(AB7,"非常に多い")+COUNTIF(AC7,"難しい")+COUNTIF(AD7,"不備が多い")+COUNTIF(AE7,"大きな差がある"))</f>
        <v/>
      </c>
      <c r="AR7" s="29">
        <f>IF($C7="","",IF(AQ7&gt;=3,3,IF(AQ7&gt;=2,2,1)))</f>
        <v/>
      </c>
      <c r="AS7" s="27" t="n"/>
    </row>
    <row r="8" ht="18" customHeight="1" s="20">
      <c r="A8" s="27" t="n"/>
      <c r="B8" s="27" t="n"/>
      <c r="C8" s="27" t="n"/>
      <c r="D8" s="30" t="n"/>
      <c r="E8" s="27" t="n"/>
      <c r="F8" s="27" t="n"/>
      <c r="G8" s="27" t="n"/>
      <c r="H8" s="28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8" t="n"/>
      <c r="S8" s="27" t="n"/>
      <c r="T8" s="27" t="n"/>
      <c r="U8" s="27" t="n"/>
      <c r="V8" s="27" t="n"/>
      <c r="W8" s="28" t="n"/>
      <c r="X8" s="27" t="n"/>
      <c r="Y8" s="28" t="n"/>
      <c r="Z8" s="28" t="n"/>
      <c r="AA8" s="27" t="n"/>
      <c r="AB8" s="27" t="n"/>
      <c r="AC8" s="27" t="n"/>
      <c r="AD8" s="27" t="n"/>
      <c r="AE8" s="27" t="n"/>
      <c r="AF8" s="27" t="n"/>
      <c r="AG8" s="27" t="n"/>
      <c r="AH8" s="28" t="n"/>
      <c r="AI8" s="27" t="n"/>
      <c r="AJ8" s="27" t="n"/>
      <c r="AK8" s="28" t="n"/>
      <c r="AL8" s="28" t="n"/>
      <c r="AM8" s="29">
        <f>IF($C8="","",COUNTIF(J8:P8,"要支援")+COUNTIF(Q8,"声かけでは変化なし")+COUNTIF(Q8,"支援を拒む・抵抗する")+COUNTIF(S8,"失敗が多い・援助が必要")+COUNTIF(T8,"偏食が強い・援助が必要")+COUNTIF(U8,"手伝いが必要")+COUNTIF(V8,"手伝いが必要")+COUNTIF(AA8,"よくある"))</f>
        <v/>
      </c>
      <c r="AN8" s="29">
        <f>IF($C8="","",COUNTIF(J8:P8,"見守り")+COUNTIF(Q8,"手を添える等が必要")+COUNTIF(S8,"ときどき失敗がある")+COUNTIF(T8,"偏食や時間がかかる")+COUNTIF(U8,"声かけでできる")+COUNTIF(V8,"声かけでできる")+COUNTIF(AA8,"ときどきある"))</f>
        <v/>
      </c>
      <c r="AO8" s="29">
        <f>IF($C8="","",IF(AM8&gt;=2,3,IF(OR(AM8=1,AN8&gt;=3),2,1)))</f>
        <v/>
      </c>
      <c r="AP8" s="27" t="n"/>
      <c r="AQ8" s="29">
        <f>IF($C8="","",COUNTIF(AB8,"非常に多い")+COUNTIF(AC8,"難しい")+COUNTIF(AD8,"不備が多い")+COUNTIF(AE8,"大きな差がある"))</f>
        <v/>
      </c>
      <c r="AR8" s="29">
        <f>IF($C8="","",IF(AQ8&gt;=3,3,IF(AQ8&gt;=2,2,1)))</f>
        <v/>
      </c>
      <c r="AS8" s="27" t="n"/>
    </row>
    <row r="9" ht="18" customHeight="1" s="20">
      <c r="A9" s="27" t="n"/>
      <c r="B9" s="27" t="n"/>
      <c r="C9" s="27" t="n"/>
      <c r="D9" s="27" t="n"/>
      <c r="E9" s="27" t="n"/>
      <c r="F9" s="27" t="n"/>
      <c r="G9" s="27" t="n"/>
      <c r="H9" s="28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8" t="n"/>
      <c r="S9" s="27" t="n"/>
      <c r="T9" s="27" t="n"/>
      <c r="U9" s="27" t="n"/>
      <c r="V9" s="27" t="n"/>
      <c r="W9" s="28" t="n"/>
      <c r="X9" s="27" t="n"/>
      <c r="Y9" s="28" t="n"/>
      <c r="Z9" s="28" t="n"/>
      <c r="AA9" s="27" t="n"/>
      <c r="AB9" s="27" t="n"/>
      <c r="AC9" s="27" t="n"/>
      <c r="AD9" s="27" t="n"/>
      <c r="AE9" s="27" t="n"/>
      <c r="AF9" s="27" t="n"/>
      <c r="AG9" s="27" t="n"/>
      <c r="AH9" s="28" t="n"/>
      <c r="AI9" s="27" t="n"/>
      <c r="AJ9" s="27" t="n"/>
      <c r="AK9" s="28" t="n"/>
      <c r="AL9" s="28" t="n"/>
      <c r="AM9" s="29">
        <f>IF($C9="","",COUNTIF(J9:P9,"要支援")+COUNTIF(Q9,"声かけでは変化なし")+COUNTIF(Q9,"支援を拒む・抵抗する")+COUNTIF(S9,"失敗が多い・援助が必要")+COUNTIF(T9,"偏食が強い・援助が必要")+COUNTIF(U9,"手伝いが必要")+COUNTIF(V9,"手伝いが必要")+COUNTIF(AA9,"よくある"))</f>
        <v/>
      </c>
      <c r="AN9" s="29">
        <f>IF($C9="","",COUNTIF(J9:P9,"見守り")+COUNTIF(Q9,"手を添える等が必要")+COUNTIF(S9,"ときどき失敗がある")+COUNTIF(T9,"偏食や時間がかかる")+COUNTIF(U9,"声かけでできる")+COUNTIF(V9,"声かけでできる")+COUNTIF(AA9,"ときどきある"))</f>
        <v/>
      </c>
      <c r="AO9" s="29">
        <f>IF($C9="","",IF(AM9&gt;=2,3,IF(OR(AM9=1,AN9&gt;=3),2,1)))</f>
        <v/>
      </c>
      <c r="AP9" s="27" t="n"/>
      <c r="AQ9" s="29">
        <f>IF($C9="","",COUNTIF(AB9,"非常に多い")+COUNTIF(AC9,"難しい")+COUNTIF(AD9,"不備が多い")+COUNTIF(AE9,"大きな差がある"))</f>
        <v/>
      </c>
      <c r="AR9" s="29">
        <f>IF($C9="","",IF(AQ9&gt;=3,3,IF(AQ9&gt;=2,2,1)))</f>
        <v/>
      </c>
      <c r="AS9" s="27" t="n"/>
    </row>
    <row r="10" ht="18" customHeight="1" s="20">
      <c r="A10" s="27" t="n"/>
      <c r="B10" s="27" t="n"/>
      <c r="C10" s="27" t="n"/>
      <c r="D10" s="27" t="n"/>
      <c r="E10" s="27" t="n"/>
      <c r="F10" s="27" t="n"/>
      <c r="G10" s="27" t="n"/>
      <c r="H10" s="28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8" t="n"/>
      <c r="S10" s="27" t="n"/>
      <c r="T10" s="27" t="n"/>
      <c r="U10" s="27" t="n"/>
      <c r="V10" s="27" t="n"/>
      <c r="W10" s="28" t="n"/>
      <c r="X10" s="27" t="n"/>
      <c r="Y10" s="28" t="n"/>
      <c r="Z10" s="28" t="n"/>
      <c r="AA10" s="27" t="n"/>
      <c r="AB10" s="27" t="n"/>
      <c r="AC10" s="27" t="n"/>
      <c r="AD10" s="27" t="n"/>
      <c r="AE10" s="27" t="n"/>
      <c r="AF10" s="27" t="n"/>
      <c r="AG10" s="27" t="n"/>
      <c r="AH10" s="28" t="n"/>
      <c r="AI10" s="27" t="n"/>
      <c r="AJ10" s="27" t="n"/>
      <c r="AK10" s="28" t="n"/>
      <c r="AL10" s="28" t="n"/>
      <c r="AM10" s="29">
        <f>IF($C10="","",COUNTIF(J10:P10,"要支援")+COUNTIF(Q10,"声かけでは変化なし")+COUNTIF(Q10,"支援を拒む・抵抗する")+COUNTIF(S10,"失敗が多い・援助が必要")+COUNTIF(T10,"偏食が強い・援助が必要")+COUNTIF(U10,"手伝いが必要")+COUNTIF(V10,"手伝いが必要")+COUNTIF(AA10,"よくある"))</f>
        <v/>
      </c>
      <c r="AN10" s="29">
        <f>IF($C10="","",COUNTIF(J10:P10,"見守り")+COUNTIF(Q10,"手を添える等が必要")+COUNTIF(S10,"ときどき失敗がある")+COUNTIF(T10,"偏食や時間がかかる")+COUNTIF(U10,"声かけでできる")+COUNTIF(V10,"声かけでできる")+COUNTIF(AA10,"ときどきある"))</f>
        <v/>
      </c>
      <c r="AO10" s="29">
        <f>IF($C10="","",IF(AM10&gt;=2,3,IF(OR(AM10=1,AN10&gt;=3),2,1)))</f>
        <v/>
      </c>
      <c r="AP10" s="27" t="n"/>
      <c r="AQ10" s="29">
        <f>IF($C10="","",COUNTIF(AB10,"非常に多い")+COUNTIF(AC10,"難しい")+COUNTIF(AD10,"不備が多い")+COUNTIF(AE10,"大きな差がある"))</f>
        <v/>
      </c>
      <c r="AR10" s="29">
        <f>IF($C10="","",IF(AQ10&gt;=3,3,IF(AQ10&gt;=2,2,1)))</f>
        <v/>
      </c>
      <c r="AS10" s="27" t="n"/>
    </row>
    <row r="11" ht="18" customHeight="1" s="20">
      <c r="A11" s="27" t="n"/>
      <c r="B11" s="27" t="n"/>
      <c r="C11" s="27" t="n"/>
      <c r="D11" s="30" t="n"/>
      <c r="E11" s="27" t="n"/>
      <c r="F11" s="27" t="n"/>
      <c r="G11" s="27" t="n"/>
      <c r="H11" s="28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8" t="n"/>
      <c r="S11" s="27" t="n"/>
      <c r="T11" s="27" t="n"/>
      <c r="U11" s="27" t="n"/>
      <c r="V11" s="27" t="n"/>
      <c r="W11" s="28" t="n"/>
      <c r="X11" s="27" t="n"/>
      <c r="Y11" s="28" t="n"/>
      <c r="Z11" s="28" t="n"/>
      <c r="AA11" s="27" t="n"/>
      <c r="AB11" s="27" t="n"/>
      <c r="AC11" s="27" t="n"/>
      <c r="AD11" s="27" t="n"/>
      <c r="AE11" s="27" t="n"/>
      <c r="AF11" s="27" t="n"/>
      <c r="AG11" s="27" t="n"/>
      <c r="AH11" s="28" t="n"/>
      <c r="AI11" s="27" t="n"/>
      <c r="AJ11" s="27" t="n"/>
      <c r="AK11" s="28" t="n"/>
      <c r="AL11" s="28" t="n"/>
      <c r="AM11" s="29">
        <f>IF($C11="","",COUNTIF(J11:P11,"要支援")+COUNTIF(Q11,"声かけでは変化なし")+COUNTIF(Q11,"支援を拒む・抵抗する")+COUNTIF(S11,"失敗が多い・援助が必要")+COUNTIF(T11,"偏食が強い・援助が必要")+COUNTIF(U11,"手伝いが必要")+COUNTIF(V11,"手伝いが必要")+COUNTIF(AA11,"よくある"))</f>
        <v/>
      </c>
      <c r="AN11" s="29">
        <f>IF($C11="","",COUNTIF(J11:P11,"見守り")+COUNTIF(Q11,"手を添える等が必要")+COUNTIF(S11,"ときどき失敗がある")+COUNTIF(T11,"偏食や時間がかかる")+COUNTIF(U11,"声かけでできる")+COUNTIF(V11,"声かけでできる")+COUNTIF(AA11,"ときどきある"))</f>
        <v/>
      </c>
      <c r="AO11" s="29">
        <f>IF($C11="","",IF(AM11&gt;=2,3,IF(OR(AM11=1,AN11&gt;=3),2,1)))</f>
        <v/>
      </c>
      <c r="AP11" s="27" t="n"/>
      <c r="AQ11" s="29">
        <f>IF($C11="","",COUNTIF(AB11,"非常に多い")+COUNTIF(AC11,"難しい")+COUNTIF(AD11,"不備が多い")+COUNTIF(AE11,"大きな差がある"))</f>
        <v/>
      </c>
      <c r="AR11" s="29">
        <f>IF($C11="","",IF(AQ11&gt;=3,3,IF(AQ11&gt;=2,2,1)))</f>
        <v/>
      </c>
      <c r="AS11" s="27" t="n"/>
    </row>
    <row r="12" ht="18" customHeight="1" s="20">
      <c r="A12" s="27" t="n"/>
      <c r="B12" s="27" t="n"/>
      <c r="C12" s="27" t="n"/>
      <c r="D12" s="30" t="n"/>
      <c r="E12" s="27" t="n"/>
      <c r="F12" s="27" t="n"/>
      <c r="G12" s="27" t="n"/>
      <c r="H12" s="28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8" t="n"/>
      <c r="S12" s="27" t="n"/>
      <c r="T12" s="27" t="n"/>
      <c r="U12" s="27" t="n"/>
      <c r="V12" s="27" t="n"/>
      <c r="W12" s="28" t="n"/>
      <c r="X12" s="27" t="n"/>
      <c r="Y12" s="28" t="n"/>
      <c r="Z12" s="28" t="n"/>
      <c r="AA12" s="27" t="n"/>
      <c r="AB12" s="27" t="n"/>
      <c r="AC12" s="27" t="n"/>
      <c r="AD12" s="27" t="n"/>
      <c r="AE12" s="27" t="n"/>
      <c r="AF12" s="27" t="n"/>
      <c r="AG12" s="27" t="n"/>
      <c r="AH12" s="28" t="n"/>
      <c r="AI12" s="27" t="n"/>
      <c r="AJ12" s="27" t="n"/>
      <c r="AK12" s="28" t="n"/>
      <c r="AL12" s="28" t="n"/>
      <c r="AM12" s="29">
        <f>IF($C12="","",COUNTIF(J12:P12,"要支援")+COUNTIF(Q12,"声かけでは変化なし")+COUNTIF(Q12,"支援を拒む・抵抗する")+COUNTIF(S12,"失敗が多い・援助が必要")+COUNTIF(T12,"偏食が強い・援助が必要")+COUNTIF(U12,"手伝いが必要")+COUNTIF(V12,"手伝いが必要")+COUNTIF(AA12,"よくある"))</f>
        <v/>
      </c>
      <c r="AN12" s="29">
        <f>IF($C12="","",COUNTIF(J12:P12,"見守り")+COUNTIF(Q12,"手を添える等が必要")+COUNTIF(S12,"ときどき失敗がある")+COUNTIF(T12,"偏食や時間がかかる")+COUNTIF(U12,"声かけでできる")+COUNTIF(V12,"声かけでできる")+COUNTIF(AA12,"ときどきある"))</f>
        <v/>
      </c>
      <c r="AO12" s="29">
        <f>IF($C12="","",IF(AM12&gt;=2,3,IF(OR(AM12=1,AN12&gt;=3),2,1)))</f>
        <v/>
      </c>
      <c r="AP12" s="27" t="n"/>
      <c r="AQ12" s="29">
        <f>IF($C12="","",COUNTIF(AB12,"非常に多い")+COUNTIF(AC12,"難しい")+COUNTIF(AD12,"不備が多い")+COUNTIF(AE12,"大きな差がある"))</f>
        <v/>
      </c>
      <c r="AR12" s="29">
        <f>IF($C12="","",IF(AQ12&gt;=3,3,IF(AQ12&gt;=2,2,1)))</f>
        <v/>
      </c>
      <c r="AS12" s="27" t="n"/>
    </row>
    <row r="13" ht="18" customHeight="1" s="20">
      <c r="A13" s="27" t="n"/>
      <c r="B13" s="27" t="n"/>
      <c r="C13" s="27" t="n"/>
      <c r="D13" s="30" t="n"/>
      <c r="E13" s="27" t="n"/>
      <c r="F13" s="27" t="n"/>
      <c r="G13" s="27" t="n"/>
      <c r="H13" s="28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8" t="n"/>
      <c r="S13" s="27" t="n"/>
      <c r="T13" s="27" t="n"/>
      <c r="U13" s="27" t="n"/>
      <c r="V13" s="27" t="n"/>
      <c r="W13" s="28" t="n"/>
      <c r="X13" s="27" t="n"/>
      <c r="Y13" s="28" t="n"/>
      <c r="Z13" s="28" t="n"/>
      <c r="AA13" s="27" t="n"/>
      <c r="AB13" s="27" t="n"/>
      <c r="AC13" s="27" t="n"/>
      <c r="AD13" s="27" t="n"/>
      <c r="AE13" s="27" t="n"/>
      <c r="AF13" s="27" t="n"/>
      <c r="AG13" s="27" t="n"/>
      <c r="AH13" s="28" t="n"/>
      <c r="AI13" s="27" t="n"/>
      <c r="AJ13" s="27" t="n"/>
      <c r="AK13" s="28" t="n"/>
      <c r="AL13" s="28" t="n"/>
      <c r="AM13" s="29">
        <f>IF($C13="","",COUNTIF(J13:P13,"要支援")+COUNTIF(Q13,"声かけでは変化なし")+COUNTIF(Q13,"支援を拒む・抵抗する")+COUNTIF(S13,"失敗が多い・援助が必要")+COUNTIF(T13,"偏食が強い・援助が必要")+COUNTIF(U13,"手伝いが必要")+COUNTIF(V13,"手伝いが必要")+COUNTIF(AA13,"よくある"))</f>
        <v/>
      </c>
      <c r="AN13" s="29">
        <f>IF($C13="","",COUNTIF(J13:P13,"見守り")+COUNTIF(Q13,"手を添える等が必要")+COUNTIF(S13,"ときどき失敗がある")+COUNTIF(T13,"偏食や時間がかかる")+COUNTIF(U13,"声かけでできる")+COUNTIF(V13,"声かけでできる")+COUNTIF(AA13,"ときどきある"))</f>
        <v/>
      </c>
      <c r="AO13" s="29">
        <f>IF($C13="","",IF(AM13&gt;=2,3,IF(OR(AM13=1,AN13&gt;=3),2,1)))</f>
        <v/>
      </c>
      <c r="AP13" s="27" t="n"/>
      <c r="AQ13" s="29">
        <f>IF($C13="","",COUNTIF(AB13,"非常に多い")+COUNTIF(AC13,"難しい")+COUNTIF(AD13,"不備が多い")+COUNTIF(AE13,"大きな差がある"))</f>
        <v/>
      </c>
      <c r="AR13" s="29">
        <f>IF($C13="","",IF(AQ13&gt;=3,3,IF(AQ13&gt;=2,2,1)))</f>
        <v/>
      </c>
      <c r="AS13" s="27" t="n"/>
    </row>
    <row r="14" ht="18" customHeight="1" s="20">
      <c r="A14" s="27" t="n"/>
      <c r="B14" s="27" t="n"/>
      <c r="C14" s="27" t="n"/>
      <c r="D14" s="27" t="n"/>
      <c r="E14" s="27" t="n"/>
      <c r="F14" s="27" t="n"/>
      <c r="G14" s="27" t="n"/>
      <c r="H14" s="28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8" t="n"/>
      <c r="S14" s="27" t="n"/>
      <c r="T14" s="27" t="n"/>
      <c r="U14" s="27" t="n"/>
      <c r="V14" s="27" t="n"/>
      <c r="W14" s="28" t="n"/>
      <c r="X14" s="27" t="n"/>
      <c r="Y14" s="28" t="n"/>
      <c r="Z14" s="28" t="n"/>
      <c r="AA14" s="27" t="n"/>
      <c r="AB14" s="27" t="n"/>
      <c r="AC14" s="27" t="n"/>
      <c r="AD14" s="27" t="n"/>
      <c r="AE14" s="27" t="n"/>
      <c r="AF14" s="27" t="n"/>
      <c r="AG14" s="27" t="n"/>
      <c r="AH14" s="28" t="n"/>
      <c r="AI14" s="27" t="n"/>
      <c r="AJ14" s="27" t="n"/>
      <c r="AK14" s="28" t="n"/>
      <c r="AL14" s="28" t="n"/>
      <c r="AM14" s="29">
        <f>IF($C14="","",COUNTIF(J14:P14,"要支援")+COUNTIF(Q14,"声かけでは変化なし")+COUNTIF(Q14,"支援を拒む・抵抗する")+COUNTIF(S14,"失敗が多い・援助が必要")+COUNTIF(T14,"偏食が強い・援助が必要")+COUNTIF(U14,"手伝いが必要")+COUNTIF(V14,"手伝いが必要")+COUNTIF(AA14,"よくある"))</f>
        <v/>
      </c>
      <c r="AN14" s="29">
        <f>IF($C14="","",COUNTIF(J14:P14,"見守り")+COUNTIF(Q14,"手を添える等が必要")+COUNTIF(S14,"ときどき失敗がある")+COUNTIF(T14,"偏食や時間がかかる")+COUNTIF(U14,"声かけでできる")+COUNTIF(V14,"声かけでできる")+COUNTIF(AA14,"ときどきある"))</f>
        <v/>
      </c>
      <c r="AO14" s="29">
        <f>IF($C14="","",IF(AM14&gt;=2,3,IF(OR(AM14=1,AN14&gt;=3),2,1)))</f>
        <v/>
      </c>
      <c r="AP14" s="27" t="n"/>
      <c r="AQ14" s="29">
        <f>IF($C14="","",COUNTIF(AB14,"非常に多い")+COUNTIF(AC14,"難しい")+COUNTIF(AD14,"不備が多い")+COUNTIF(AE14,"大きな差がある"))</f>
        <v/>
      </c>
      <c r="AR14" s="29">
        <f>IF($C14="","",IF(AQ14&gt;=3,3,IF(AQ14&gt;=2,2,1)))</f>
        <v/>
      </c>
      <c r="AS14" s="27" t="n"/>
    </row>
    <row r="15" ht="18" customHeight="1" s="20">
      <c r="A15" s="27" t="n"/>
      <c r="B15" s="27" t="n"/>
      <c r="C15" s="27" t="n"/>
      <c r="D15" s="27" t="n"/>
      <c r="E15" s="27" t="n"/>
      <c r="F15" s="27" t="n"/>
      <c r="G15" s="27" t="n"/>
      <c r="H15" s="28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8" t="n"/>
      <c r="S15" s="27" t="n"/>
      <c r="T15" s="27" t="n"/>
      <c r="U15" s="27" t="n"/>
      <c r="V15" s="27" t="n"/>
      <c r="W15" s="28" t="n"/>
      <c r="X15" s="27" t="n"/>
      <c r="Y15" s="28" t="n"/>
      <c r="Z15" s="28" t="n"/>
      <c r="AA15" s="27" t="n"/>
      <c r="AB15" s="27" t="n"/>
      <c r="AC15" s="27" t="n"/>
      <c r="AD15" s="27" t="n"/>
      <c r="AE15" s="27" t="n"/>
      <c r="AF15" s="27" t="n"/>
      <c r="AG15" s="27" t="n"/>
      <c r="AH15" s="28" t="n"/>
      <c r="AI15" s="27" t="n"/>
      <c r="AJ15" s="27" t="n"/>
      <c r="AK15" s="28" t="n"/>
      <c r="AL15" s="28" t="n"/>
      <c r="AM15" s="29">
        <f>IF($C15="","",COUNTIF(J15:P15,"要支援")+COUNTIF(Q15,"声かけでは変化なし")+COUNTIF(Q15,"支援を拒む・抵抗する")+COUNTIF(S15,"失敗が多い・援助が必要")+COUNTIF(T15,"偏食が強い・援助が必要")+COUNTIF(U15,"手伝いが必要")+COUNTIF(V15,"手伝いが必要")+COUNTIF(AA15,"よくある"))</f>
        <v/>
      </c>
      <c r="AN15" s="29">
        <f>IF($C15="","",COUNTIF(J15:P15,"見守り")+COUNTIF(Q15,"手を添える等が必要")+COUNTIF(S15,"ときどき失敗がある")+COUNTIF(T15,"偏食や時間がかかる")+COUNTIF(U15,"声かけでできる")+COUNTIF(V15,"声かけでできる")+COUNTIF(AA15,"ときどきある"))</f>
        <v/>
      </c>
      <c r="AO15" s="29">
        <f>IF($C15="","",IF(AM15&gt;=2,3,IF(OR(AM15=1,AN15&gt;=3),2,1)))</f>
        <v/>
      </c>
      <c r="AP15" s="27" t="n"/>
      <c r="AQ15" s="29">
        <f>IF($C15="","",COUNTIF(AB15,"非常に多い")+COUNTIF(AC15,"難しい")+COUNTIF(AD15,"不備が多い")+COUNTIF(AE15,"大きな差がある"))</f>
        <v/>
      </c>
      <c r="AR15" s="29">
        <f>IF($C15="","",IF(AQ15&gt;=3,3,IF(AQ15&gt;=2,2,1)))</f>
        <v/>
      </c>
      <c r="AS15" s="27" t="n"/>
    </row>
    <row r="16" ht="18" customHeight="1" s="20">
      <c r="A16" s="27" t="n"/>
      <c r="B16" s="27" t="n"/>
      <c r="C16" s="27" t="n"/>
      <c r="D16" s="27" t="n"/>
      <c r="E16" s="27" t="n"/>
      <c r="F16" s="27" t="n"/>
      <c r="G16" s="27" t="n"/>
      <c r="H16" s="28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8" t="n"/>
      <c r="S16" s="27" t="n"/>
      <c r="T16" s="27" t="n"/>
      <c r="U16" s="27" t="n"/>
      <c r="V16" s="27" t="n"/>
      <c r="W16" s="28" t="n"/>
      <c r="X16" s="27" t="n"/>
      <c r="Y16" s="28" t="n"/>
      <c r="Z16" s="28" t="n"/>
      <c r="AA16" s="27" t="n"/>
      <c r="AB16" s="27" t="n"/>
      <c r="AC16" s="27" t="n"/>
      <c r="AD16" s="27" t="n"/>
      <c r="AE16" s="27" t="n"/>
      <c r="AF16" s="27" t="n"/>
      <c r="AG16" s="27" t="n"/>
      <c r="AH16" s="28" t="n"/>
      <c r="AI16" s="27" t="n"/>
      <c r="AJ16" s="27" t="n"/>
      <c r="AK16" s="28" t="n"/>
      <c r="AL16" s="28" t="n"/>
      <c r="AM16" s="29">
        <f>IF($C16="","",COUNTIF(J16:P16,"要支援")+COUNTIF(Q16,"声かけでは変化なし")+COUNTIF(Q16,"支援を拒む・抵抗する")+COUNTIF(S16,"失敗が多い・援助が必要")+COUNTIF(T16,"偏食が強い・援助が必要")+COUNTIF(U16,"手伝いが必要")+COUNTIF(V16,"手伝いが必要")+COUNTIF(AA16,"よくある"))</f>
        <v/>
      </c>
      <c r="AN16" s="29">
        <f>IF($C16="","",COUNTIF(J16:P16,"見守り")+COUNTIF(Q16,"手を添える等が必要")+COUNTIF(S16,"ときどき失敗がある")+COUNTIF(T16,"偏食や時間がかかる")+COUNTIF(U16,"声かけでできる")+COUNTIF(V16,"声かけでできる")+COUNTIF(AA16,"ときどきある"))</f>
        <v/>
      </c>
      <c r="AO16" s="29">
        <f>IF($C16="","",IF(AM16&gt;=2,3,IF(OR(AM16=1,AN16&gt;=3),2,1)))</f>
        <v/>
      </c>
      <c r="AP16" s="27" t="n"/>
      <c r="AQ16" s="29">
        <f>IF($C16="","",COUNTIF(AB16,"非常に多い")+COUNTIF(AC16,"難しい")+COUNTIF(AD16,"不備が多い")+COUNTIF(AE16,"大きな差がある"))</f>
        <v/>
      </c>
      <c r="AR16" s="29">
        <f>IF($C16="","",IF(AQ16&gt;=3,3,IF(AQ16&gt;=2,2,1)))</f>
        <v/>
      </c>
      <c r="AS16" s="27" t="n"/>
    </row>
    <row r="17" ht="18" customHeight="1" s="20">
      <c r="A17" s="27" t="n"/>
      <c r="B17" s="27" t="n"/>
      <c r="C17" s="27" t="n"/>
      <c r="D17" s="27" t="n"/>
      <c r="E17" s="27" t="n"/>
      <c r="F17" s="27" t="n"/>
      <c r="G17" s="27" t="n"/>
      <c r="H17" s="28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8" t="n"/>
      <c r="S17" s="27" t="n"/>
      <c r="T17" s="27" t="n"/>
      <c r="U17" s="27" t="n"/>
      <c r="V17" s="27" t="n"/>
      <c r="W17" s="28" t="n"/>
      <c r="X17" s="27" t="n"/>
      <c r="Y17" s="28" t="n"/>
      <c r="Z17" s="28" t="n"/>
      <c r="AA17" s="27" t="n"/>
      <c r="AB17" s="27" t="n"/>
      <c r="AC17" s="27" t="n"/>
      <c r="AD17" s="27" t="n"/>
      <c r="AE17" s="27" t="n"/>
      <c r="AF17" s="27" t="n"/>
      <c r="AG17" s="27" t="n"/>
      <c r="AH17" s="28" t="n"/>
      <c r="AI17" s="27" t="n"/>
      <c r="AJ17" s="27" t="n"/>
      <c r="AK17" s="28" t="n"/>
      <c r="AL17" s="28" t="n"/>
      <c r="AM17" s="29">
        <f>IF($C17="","",COUNTIF(J17:P17,"要支援")+COUNTIF(Q17,"声かけでは変化なし")+COUNTIF(Q17,"支援を拒む・抵抗する")+COUNTIF(S17,"失敗が多い・援助が必要")+COUNTIF(T17,"偏食が強い・援助が必要")+COUNTIF(U17,"手伝いが必要")+COUNTIF(V17,"手伝いが必要")+COUNTIF(AA17,"よくある"))</f>
        <v/>
      </c>
      <c r="AN17" s="29">
        <f>IF($C17="","",COUNTIF(J17:P17,"見守り")+COUNTIF(Q17,"手を添える等が必要")+COUNTIF(S17,"ときどき失敗がある")+COUNTIF(T17,"偏食や時間がかかる")+COUNTIF(U17,"声かけでできる")+COUNTIF(V17,"声かけでできる")+COUNTIF(AA17,"ときどきある"))</f>
        <v/>
      </c>
      <c r="AO17" s="29">
        <f>IF($C17="","",IF(AM17&gt;=2,3,IF(OR(AM17=1,AN17&gt;=3),2,1)))</f>
        <v/>
      </c>
      <c r="AP17" s="27" t="n"/>
      <c r="AQ17" s="29">
        <f>IF($C17="","",COUNTIF(AB17,"非常に多い")+COUNTIF(AC17,"難しい")+COUNTIF(AD17,"不備が多い")+COUNTIF(AE17,"大きな差がある"))</f>
        <v/>
      </c>
      <c r="AR17" s="29">
        <f>IF($C17="","",IF(AQ17&gt;=3,3,IF(AQ17&gt;=2,2,1)))</f>
        <v/>
      </c>
      <c r="AS17" s="27" t="n"/>
    </row>
    <row r="18" ht="18" customHeight="1" s="20">
      <c r="A18" s="27" t="n"/>
      <c r="B18" s="27" t="n"/>
      <c r="C18" s="27" t="n"/>
      <c r="D18" s="27" t="n"/>
      <c r="E18" s="27" t="n"/>
      <c r="F18" s="27" t="n"/>
      <c r="G18" s="27" t="n"/>
      <c r="H18" s="28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8" t="n"/>
      <c r="S18" s="27" t="n"/>
      <c r="T18" s="27" t="n"/>
      <c r="U18" s="27" t="n"/>
      <c r="V18" s="27" t="n"/>
      <c r="W18" s="28" t="n"/>
      <c r="X18" s="27" t="n"/>
      <c r="Y18" s="28" t="n"/>
      <c r="Z18" s="28" t="n"/>
      <c r="AA18" s="27" t="n"/>
      <c r="AB18" s="27" t="n"/>
      <c r="AC18" s="27" t="n"/>
      <c r="AD18" s="27" t="n"/>
      <c r="AE18" s="27" t="n"/>
      <c r="AF18" s="27" t="n"/>
      <c r="AG18" s="27" t="n"/>
      <c r="AH18" s="28" t="n"/>
      <c r="AI18" s="27" t="n"/>
      <c r="AJ18" s="27" t="n"/>
      <c r="AK18" s="28" t="n"/>
      <c r="AL18" s="28" t="n"/>
      <c r="AM18" s="29">
        <f>IF($C18="","",COUNTIF(J18:P18,"要支援")+COUNTIF(Q18,"声かけでは変化なし")+COUNTIF(Q18,"支援を拒む・抵抗する")+COUNTIF(S18,"失敗が多い・援助が必要")+COUNTIF(T18,"偏食が強い・援助が必要")+COUNTIF(U18,"手伝いが必要")+COUNTIF(V18,"手伝いが必要")+COUNTIF(AA18,"よくある"))</f>
        <v/>
      </c>
      <c r="AN18" s="29">
        <f>IF($C18="","",COUNTIF(J18:P18,"見守り")+COUNTIF(Q18,"手を添える等が必要")+COUNTIF(S18,"ときどき失敗がある")+COUNTIF(T18,"偏食や時間がかかる")+COUNTIF(U18,"声かけでできる")+COUNTIF(V18,"声かけでできる")+COUNTIF(AA18,"ときどきある"))</f>
        <v/>
      </c>
      <c r="AO18" s="29">
        <f>IF($C18="","",IF(AM18&gt;=2,3,IF(OR(AM18=1,AN18&gt;=3),2,1)))</f>
        <v/>
      </c>
      <c r="AP18" s="27" t="n"/>
      <c r="AQ18" s="29">
        <f>IF($C18="","",COUNTIF(AB18,"非常に多い")+COUNTIF(AC18,"難しい")+COUNTIF(AD18,"不備が多い")+COUNTIF(AE18,"大きな差がある"))</f>
        <v/>
      </c>
      <c r="AR18" s="29">
        <f>IF($C18="","",IF(AQ18&gt;=3,3,IF(AQ18&gt;=2,2,1)))</f>
        <v/>
      </c>
      <c r="AS18" s="27" t="n"/>
    </row>
    <row r="19" ht="18" customHeight="1" s="20">
      <c r="A19" s="27" t="n"/>
      <c r="B19" s="27" t="n"/>
      <c r="C19" s="27" t="n"/>
      <c r="D19" s="27" t="n"/>
      <c r="E19" s="27" t="n"/>
      <c r="F19" s="27" t="n"/>
      <c r="G19" s="27" t="n"/>
      <c r="H19" s="28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8" t="n"/>
      <c r="S19" s="27" t="n"/>
      <c r="T19" s="27" t="n"/>
      <c r="U19" s="27" t="n"/>
      <c r="V19" s="27" t="n"/>
      <c r="W19" s="28" t="n"/>
      <c r="X19" s="27" t="n"/>
      <c r="Y19" s="28" t="n"/>
      <c r="Z19" s="28" t="n"/>
      <c r="AA19" s="27" t="n"/>
      <c r="AB19" s="27" t="n"/>
      <c r="AC19" s="27" t="n"/>
      <c r="AD19" s="27" t="n"/>
      <c r="AE19" s="27" t="n"/>
      <c r="AF19" s="27" t="n"/>
      <c r="AG19" s="27" t="n"/>
      <c r="AH19" s="28" t="n"/>
      <c r="AI19" s="27" t="n"/>
      <c r="AJ19" s="27" t="n"/>
      <c r="AK19" s="28" t="n"/>
      <c r="AL19" s="28" t="n"/>
      <c r="AM19" s="29">
        <f>IF($C19="","",COUNTIF(J19:P19,"要支援")+COUNTIF(Q19,"声かけでは変化なし")+COUNTIF(Q19,"支援を拒む・抵抗する")+COUNTIF(S19,"失敗が多い・援助が必要")+COUNTIF(T19,"偏食が強い・援助が必要")+COUNTIF(U19,"手伝いが必要")+COUNTIF(V19,"手伝いが必要")+COUNTIF(AA19,"よくある"))</f>
        <v/>
      </c>
      <c r="AN19" s="29">
        <f>IF($C19="","",COUNTIF(J19:P19,"見守り")+COUNTIF(Q19,"手を添える等が必要")+COUNTIF(S19,"ときどき失敗がある")+COUNTIF(T19,"偏食や時間がかかる")+COUNTIF(U19,"声かけでできる")+COUNTIF(V19,"声かけでできる")+COUNTIF(AA19,"ときどきある"))</f>
        <v/>
      </c>
      <c r="AO19" s="29">
        <f>IF($C19="","",IF(AM19&gt;=2,3,IF(OR(AM19=1,AN19&gt;=3),2,1)))</f>
        <v/>
      </c>
      <c r="AP19" s="27" t="n"/>
      <c r="AQ19" s="29">
        <f>IF($C19="","",COUNTIF(AB19,"非常に多い")+COUNTIF(AC19,"難しい")+COUNTIF(AD19,"不備が多い")+COUNTIF(AE19,"大きな差がある"))</f>
        <v/>
      </c>
      <c r="AR19" s="29">
        <f>IF($C19="","",IF(AQ19&gt;=3,3,IF(AQ19&gt;=2,2,1)))</f>
        <v/>
      </c>
      <c r="AS19" s="27" t="n"/>
    </row>
    <row r="20" ht="18" customHeight="1" s="20">
      <c r="A20" s="27" t="n"/>
      <c r="B20" s="27" t="n"/>
      <c r="C20" s="27" t="n"/>
      <c r="D20" s="27" t="n"/>
      <c r="E20" s="27" t="n"/>
      <c r="F20" s="27" t="n"/>
      <c r="G20" s="27" t="n"/>
      <c r="H20" s="28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8" t="n"/>
      <c r="S20" s="27" t="n"/>
      <c r="T20" s="27" t="n"/>
      <c r="U20" s="27" t="n"/>
      <c r="V20" s="27" t="n"/>
      <c r="W20" s="28" t="n"/>
      <c r="X20" s="27" t="n"/>
      <c r="Y20" s="28" t="n"/>
      <c r="Z20" s="28" t="n"/>
      <c r="AA20" s="27" t="n"/>
      <c r="AB20" s="27" t="n"/>
      <c r="AC20" s="27" t="n"/>
      <c r="AD20" s="27" t="n"/>
      <c r="AE20" s="27" t="n"/>
      <c r="AF20" s="27" t="n"/>
      <c r="AG20" s="27" t="n"/>
      <c r="AH20" s="28" t="n"/>
      <c r="AI20" s="27" t="n"/>
      <c r="AJ20" s="27" t="n"/>
      <c r="AK20" s="28" t="n"/>
      <c r="AL20" s="28" t="n"/>
      <c r="AM20" s="29">
        <f>IF($C20="","",COUNTIF(J20:P20,"要支援")+COUNTIF(Q20,"声かけでは変化なし")+COUNTIF(Q20,"支援を拒む・抵抗する")+COUNTIF(S20,"失敗が多い・援助が必要")+COUNTIF(T20,"偏食が強い・援助が必要")+COUNTIF(U20,"手伝いが必要")+COUNTIF(V20,"手伝いが必要")+COUNTIF(AA20,"よくある"))</f>
        <v/>
      </c>
      <c r="AN20" s="29">
        <f>IF($C20="","",COUNTIF(J20:P20,"見守り")+COUNTIF(Q20,"手を添える等が必要")+COUNTIF(S20,"ときどき失敗がある")+COUNTIF(T20,"偏食や時間がかかる")+COUNTIF(U20,"声かけでできる")+COUNTIF(V20,"声かけでできる")+COUNTIF(AA20,"ときどきある"))</f>
        <v/>
      </c>
      <c r="AO20" s="29">
        <f>IF($C20="","",IF(AM20&gt;=2,3,IF(OR(AM20=1,AN20&gt;=3),2,1)))</f>
        <v/>
      </c>
      <c r="AP20" s="27" t="n"/>
      <c r="AQ20" s="29">
        <f>IF($C20="","",COUNTIF(AB20,"非常に多い")+COUNTIF(AC20,"難しい")+COUNTIF(AD20,"不備が多い")+COUNTIF(AE20,"大きな差がある"))</f>
        <v/>
      </c>
      <c r="AR20" s="29">
        <f>IF($C20="","",IF(AQ20&gt;=3,3,IF(AQ20&gt;=2,2,1)))</f>
        <v/>
      </c>
      <c r="AS20" s="27" t="n"/>
    </row>
    <row r="21" ht="18" customHeight="1" s="20">
      <c r="A21" s="27" t="n"/>
      <c r="B21" s="27" t="n"/>
      <c r="C21" s="27" t="n"/>
      <c r="D21" s="27" t="n"/>
      <c r="E21" s="27" t="n"/>
      <c r="F21" s="27" t="n"/>
      <c r="G21" s="27" t="n"/>
      <c r="H21" s="28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8" t="n"/>
      <c r="S21" s="27" t="n"/>
      <c r="T21" s="27" t="n"/>
      <c r="U21" s="27" t="n"/>
      <c r="V21" s="27" t="n"/>
      <c r="W21" s="28" t="n"/>
      <c r="X21" s="27" t="n"/>
      <c r="Y21" s="28" t="n"/>
      <c r="Z21" s="28" t="n"/>
      <c r="AA21" s="27" t="n"/>
      <c r="AB21" s="27" t="n"/>
      <c r="AC21" s="27" t="n"/>
      <c r="AD21" s="27" t="n"/>
      <c r="AE21" s="27" t="n"/>
      <c r="AF21" s="27" t="n"/>
      <c r="AG21" s="27" t="n"/>
      <c r="AH21" s="28" t="n"/>
      <c r="AI21" s="27" t="n"/>
      <c r="AJ21" s="27" t="n"/>
      <c r="AK21" s="28" t="n"/>
      <c r="AL21" s="28" t="n"/>
      <c r="AM21" s="29">
        <f>IF($C21="","",COUNTIF(J21:P21,"要支援")+COUNTIF(Q21,"声かけでは変化なし")+COUNTIF(Q21,"支援を拒む・抵抗する")+COUNTIF(S21,"失敗が多い・援助が必要")+COUNTIF(T21,"偏食が強い・援助が必要")+COUNTIF(U21,"手伝いが必要")+COUNTIF(V21,"手伝いが必要")+COUNTIF(AA21,"よくある"))</f>
        <v/>
      </c>
      <c r="AN21" s="29">
        <f>IF($C21="","",COUNTIF(J21:P21,"見守り")+COUNTIF(Q21,"手を添える等が必要")+COUNTIF(S21,"ときどき失敗がある")+COUNTIF(T21,"偏食や時間がかかる")+COUNTIF(U21,"声かけでできる")+COUNTIF(V21,"声かけでできる")+COUNTIF(AA21,"ときどきある"))</f>
        <v/>
      </c>
      <c r="AO21" s="29">
        <f>IF($C21="","",IF(AM21&gt;=2,3,IF(OR(AM21=1,AN21&gt;=3),2,1)))</f>
        <v/>
      </c>
      <c r="AP21" s="27" t="n"/>
      <c r="AQ21" s="29">
        <f>IF($C21="","",COUNTIF(AB21,"非常に多い")+COUNTIF(AC21,"難しい")+COUNTIF(AD21,"不備が多い")+COUNTIF(AE21,"大きな差がある"))</f>
        <v/>
      </c>
      <c r="AR21" s="29">
        <f>IF($C21="","",IF(AQ21&gt;=3,3,IF(AQ21&gt;=2,2,1)))</f>
        <v/>
      </c>
      <c r="AS21" s="27" t="n"/>
    </row>
    <row r="22" ht="18" customHeight="1" s="20">
      <c r="A22" s="27" t="n"/>
      <c r="B22" s="27" t="n"/>
      <c r="C22" s="27" t="n"/>
      <c r="D22" s="27" t="n"/>
      <c r="E22" s="27" t="n"/>
      <c r="F22" s="27" t="n"/>
      <c r="G22" s="27" t="n"/>
      <c r="H22" s="28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8" t="n"/>
      <c r="S22" s="27" t="n"/>
      <c r="T22" s="27" t="n"/>
      <c r="U22" s="27" t="n"/>
      <c r="V22" s="27" t="n"/>
      <c r="W22" s="28" t="n"/>
      <c r="X22" s="27" t="n"/>
      <c r="Y22" s="28" t="n"/>
      <c r="Z22" s="28" t="n"/>
      <c r="AA22" s="27" t="n"/>
      <c r="AB22" s="27" t="n"/>
      <c r="AC22" s="27" t="n"/>
      <c r="AD22" s="27" t="n"/>
      <c r="AE22" s="27" t="n"/>
      <c r="AF22" s="27" t="n"/>
      <c r="AG22" s="27" t="n"/>
      <c r="AH22" s="28" t="n"/>
      <c r="AI22" s="27" t="n"/>
      <c r="AJ22" s="27" t="n"/>
      <c r="AK22" s="28" t="n"/>
      <c r="AL22" s="28" t="n"/>
      <c r="AM22" s="29">
        <f>IF($C22="","",COUNTIF(J22:P22,"要支援")+COUNTIF(Q22,"声かけでは変化なし")+COUNTIF(Q22,"支援を拒む・抵抗する")+COUNTIF(S22,"失敗が多い・援助が必要")+COUNTIF(T22,"偏食が強い・援助が必要")+COUNTIF(U22,"手伝いが必要")+COUNTIF(V22,"手伝いが必要")+COUNTIF(AA22,"よくある"))</f>
        <v/>
      </c>
      <c r="AN22" s="29">
        <f>IF($C22="","",COUNTIF(J22:P22,"見守り")+COUNTIF(Q22,"手を添える等が必要")+COUNTIF(S22,"ときどき失敗がある")+COUNTIF(T22,"偏食や時間がかかる")+COUNTIF(U22,"声かけでできる")+COUNTIF(V22,"声かけでできる")+COUNTIF(AA22,"ときどきある"))</f>
        <v/>
      </c>
      <c r="AO22" s="29">
        <f>IF($C22="","",IF(AM22&gt;=2,3,IF(OR(AM22=1,AN22&gt;=3),2,1)))</f>
        <v/>
      </c>
      <c r="AP22" s="27" t="n"/>
      <c r="AQ22" s="29">
        <f>IF($C22="","",COUNTIF(AB22,"非常に多い")+COUNTIF(AC22,"難しい")+COUNTIF(AD22,"不備が多い")+COUNTIF(AE22,"大きな差がある"))</f>
        <v/>
      </c>
      <c r="AR22" s="29">
        <f>IF($C22="","",IF(AQ22&gt;=3,3,IF(AQ22&gt;=2,2,1)))</f>
        <v/>
      </c>
      <c r="AS22" s="27" t="n"/>
    </row>
    <row r="23" ht="18" customHeight="1" s="20">
      <c r="A23" s="27" t="n"/>
      <c r="B23" s="27" t="n"/>
      <c r="C23" s="27" t="n"/>
      <c r="D23" s="27" t="n"/>
      <c r="E23" s="27" t="n"/>
      <c r="F23" s="27" t="n"/>
      <c r="G23" s="27" t="n"/>
      <c r="H23" s="28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8" t="n"/>
      <c r="S23" s="27" t="n"/>
      <c r="T23" s="27" t="n"/>
      <c r="U23" s="27" t="n"/>
      <c r="V23" s="27" t="n"/>
      <c r="W23" s="28" t="n"/>
      <c r="X23" s="27" t="n"/>
      <c r="Y23" s="28" t="n"/>
      <c r="Z23" s="28" t="n"/>
      <c r="AA23" s="27" t="n"/>
      <c r="AB23" s="27" t="n"/>
      <c r="AC23" s="27" t="n"/>
      <c r="AD23" s="27" t="n"/>
      <c r="AE23" s="27" t="n"/>
      <c r="AF23" s="27" t="n"/>
      <c r="AG23" s="27" t="n"/>
      <c r="AH23" s="28" t="n"/>
      <c r="AI23" s="27" t="n"/>
      <c r="AJ23" s="27" t="n"/>
      <c r="AK23" s="28" t="n"/>
      <c r="AL23" s="28" t="n"/>
      <c r="AM23" s="29">
        <f>IF($C23="","",COUNTIF(J23:P23,"要支援")+COUNTIF(Q23,"声かけでは変化なし")+COUNTIF(Q23,"支援を拒む・抵抗する")+COUNTIF(S23,"失敗が多い・援助が必要")+COUNTIF(T23,"偏食が強い・援助が必要")+COUNTIF(U23,"手伝いが必要")+COUNTIF(V23,"手伝いが必要")+COUNTIF(AA23,"よくある"))</f>
        <v/>
      </c>
      <c r="AN23" s="29">
        <f>IF($C23="","",COUNTIF(J23:P23,"見守り")+COUNTIF(Q23,"手を添える等が必要")+COUNTIF(S23,"ときどき失敗がある")+COUNTIF(T23,"偏食や時間がかかる")+COUNTIF(U23,"声かけでできる")+COUNTIF(V23,"声かけでできる")+COUNTIF(AA23,"ときどきある"))</f>
        <v/>
      </c>
      <c r="AO23" s="29">
        <f>IF($C23="","",IF(AM23&gt;=2,3,IF(OR(AM23=1,AN23&gt;=3),2,1)))</f>
        <v/>
      </c>
      <c r="AP23" s="27" t="n"/>
      <c r="AQ23" s="29">
        <f>IF($C23="","",COUNTIF(AB23,"非常に多い")+COUNTIF(AC23,"難しい")+COUNTIF(AD23,"不備が多い")+COUNTIF(AE23,"大きな差がある"))</f>
        <v/>
      </c>
      <c r="AR23" s="29">
        <f>IF($C23="","",IF(AQ23&gt;=3,3,IF(AQ23&gt;=2,2,1)))</f>
        <v/>
      </c>
      <c r="AS23" s="27" t="n"/>
    </row>
    <row r="24" ht="18" customHeight="1" s="20">
      <c r="A24" s="27" t="n"/>
      <c r="B24" s="27" t="n"/>
      <c r="C24" s="27" t="n"/>
      <c r="D24" s="27" t="n"/>
      <c r="E24" s="27" t="n"/>
      <c r="F24" s="27" t="n"/>
      <c r="G24" s="27" t="n"/>
      <c r="H24" s="28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8" t="n"/>
      <c r="S24" s="27" t="n"/>
      <c r="T24" s="27" t="n"/>
      <c r="U24" s="27" t="n"/>
      <c r="V24" s="27" t="n"/>
      <c r="W24" s="28" t="n"/>
      <c r="X24" s="27" t="n"/>
      <c r="Y24" s="28" t="n"/>
      <c r="Z24" s="28" t="n"/>
      <c r="AA24" s="27" t="n"/>
      <c r="AB24" s="27" t="n"/>
      <c r="AC24" s="27" t="n"/>
      <c r="AD24" s="27" t="n"/>
      <c r="AE24" s="27" t="n"/>
      <c r="AF24" s="27" t="n"/>
      <c r="AG24" s="27" t="n"/>
      <c r="AH24" s="28" t="n"/>
      <c r="AI24" s="27" t="n"/>
      <c r="AJ24" s="27" t="n"/>
      <c r="AK24" s="28" t="n"/>
      <c r="AL24" s="28" t="n"/>
      <c r="AM24" s="29">
        <f>IF($C24="","",COUNTIF(J24:P24,"要支援")+COUNTIF(Q24,"声かけでは変化なし")+COUNTIF(Q24,"支援を拒む・抵抗する")+COUNTIF(S24,"失敗が多い・援助が必要")+COUNTIF(T24,"偏食が強い・援助が必要")+COUNTIF(U24,"手伝いが必要")+COUNTIF(V24,"手伝いが必要")+COUNTIF(AA24,"よくある"))</f>
        <v/>
      </c>
      <c r="AN24" s="29">
        <f>IF($C24="","",COUNTIF(J24:P24,"見守り")+COUNTIF(Q24,"手を添える等が必要")+COUNTIF(S24,"ときどき失敗がある")+COUNTIF(T24,"偏食や時間がかかる")+COUNTIF(U24,"声かけでできる")+COUNTIF(V24,"声かけでできる")+COUNTIF(AA24,"ときどきある"))</f>
        <v/>
      </c>
      <c r="AO24" s="29">
        <f>IF($C24="","",IF(AM24&gt;=2,3,IF(OR(AM24=1,AN24&gt;=3),2,1)))</f>
        <v/>
      </c>
      <c r="AP24" s="27" t="n"/>
      <c r="AQ24" s="29">
        <f>IF($C24="","",COUNTIF(AB24,"非常に多い")+COUNTIF(AC24,"難しい")+COUNTIF(AD24,"不備が多い")+COUNTIF(AE24,"大きな差がある"))</f>
        <v/>
      </c>
      <c r="AR24" s="29">
        <f>IF($C24="","",IF(AQ24&gt;=3,3,IF(AQ24&gt;=2,2,1)))</f>
        <v/>
      </c>
      <c r="AS24" s="27" t="n"/>
    </row>
    <row r="25" ht="18" customHeight="1" s="20">
      <c r="A25" s="27" t="n"/>
      <c r="B25" s="27" t="n"/>
      <c r="C25" s="27" t="n"/>
      <c r="D25" s="27" t="n"/>
      <c r="E25" s="27" t="n"/>
      <c r="F25" s="27" t="n"/>
      <c r="G25" s="27" t="n"/>
      <c r="H25" s="28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8" t="n"/>
      <c r="S25" s="27" t="n"/>
      <c r="T25" s="27" t="n"/>
      <c r="U25" s="27" t="n"/>
      <c r="V25" s="27" t="n"/>
      <c r="W25" s="28" t="n"/>
      <c r="X25" s="27" t="n"/>
      <c r="Y25" s="28" t="n"/>
      <c r="Z25" s="28" t="n"/>
      <c r="AA25" s="27" t="n"/>
      <c r="AB25" s="27" t="n"/>
      <c r="AC25" s="27" t="n"/>
      <c r="AD25" s="27" t="n"/>
      <c r="AE25" s="27" t="n"/>
      <c r="AF25" s="27" t="n"/>
      <c r="AG25" s="27" t="n"/>
      <c r="AH25" s="28" t="n"/>
      <c r="AI25" s="27" t="n"/>
      <c r="AJ25" s="27" t="n"/>
      <c r="AK25" s="28" t="n"/>
      <c r="AL25" s="28" t="n"/>
      <c r="AM25" s="29">
        <f>IF($C25="","",COUNTIF(J25:P25,"要支援")+COUNTIF(Q25,"声かけでは変化なし")+COUNTIF(Q25,"支援を拒む・抵抗する")+COUNTIF(S25,"失敗が多い・援助が必要")+COUNTIF(T25,"偏食が強い・援助が必要")+COUNTIF(U25,"手伝いが必要")+COUNTIF(V25,"手伝いが必要")+COUNTIF(AA25,"よくある"))</f>
        <v/>
      </c>
      <c r="AN25" s="29">
        <f>IF($C25="","",COUNTIF(J25:P25,"見守り")+COUNTIF(Q25,"手を添える等が必要")+COUNTIF(S25,"ときどき失敗がある")+COUNTIF(T25,"偏食や時間がかかる")+COUNTIF(U25,"声かけでできる")+COUNTIF(V25,"声かけでできる")+COUNTIF(AA25,"ときどきある"))</f>
        <v/>
      </c>
      <c r="AO25" s="29">
        <f>IF($C25="","",IF(AM25&gt;=2,3,IF(OR(AM25=1,AN25&gt;=3),2,1)))</f>
        <v/>
      </c>
      <c r="AP25" s="27" t="n"/>
      <c r="AQ25" s="29">
        <f>IF($C25="","",COUNTIF(AB25,"非常に多い")+COUNTIF(AC25,"難しい")+COUNTIF(AD25,"不備が多い")+COUNTIF(AE25,"大きな差がある"))</f>
        <v/>
      </c>
      <c r="AR25" s="29">
        <f>IF($C25="","",IF(AQ25&gt;=3,3,IF(AQ25&gt;=2,2,1)))</f>
        <v/>
      </c>
      <c r="AS25" s="27" t="n"/>
    </row>
    <row r="26" ht="18" customHeight="1" s="20">
      <c r="A26" s="27" t="n"/>
      <c r="B26" s="27" t="n"/>
      <c r="C26" s="27" t="n"/>
      <c r="D26" s="27" t="n"/>
      <c r="E26" s="27" t="n"/>
      <c r="F26" s="27" t="n"/>
      <c r="G26" s="27" t="n"/>
      <c r="H26" s="28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8" t="n"/>
      <c r="S26" s="27" t="n"/>
      <c r="T26" s="27" t="n"/>
      <c r="U26" s="27" t="n"/>
      <c r="V26" s="27" t="n"/>
      <c r="W26" s="28" t="n"/>
      <c r="X26" s="27" t="n"/>
      <c r="Y26" s="28" t="n"/>
      <c r="Z26" s="28" t="n"/>
      <c r="AA26" s="27" t="n"/>
      <c r="AB26" s="27" t="n"/>
      <c r="AC26" s="27" t="n"/>
      <c r="AD26" s="27" t="n"/>
      <c r="AE26" s="27" t="n"/>
      <c r="AF26" s="27" t="n"/>
      <c r="AG26" s="27" t="n"/>
      <c r="AH26" s="28" t="n"/>
      <c r="AI26" s="27" t="n"/>
      <c r="AJ26" s="27" t="n"/>
      <c r="AK26" s="28" t="n"/>
      <c r="AL26" s="28" t="n"/>
      <c r="AM26" s="29">
        <f>IF($C26="","",COUNTIF(J26:P26,"要支援")+COUNTIF(Q26,"声かけでは変化なし")+COUNTIF(Q26,"支援を拒む・抵抗する")+COUNTIF(S26,"失敗が多い・援助が必要")+COUNTIF(T26,"偏食が強い・援助が必要")+COUNTIF(U26,"手伝いが必要")+COUNTIF(V26,"手伝いが必要")+COUNTIF(AA26,"よくある"))</f>
        <v/>
      </c>
      <c r="AN26" s="29">
        <f>IF($C26="","",COUNTIF(J26:P26,"見守り")+COUNTIF(Q26,"手を添える等が必要")+COUNTIF(S26,"ときどき失敗がある")+COUNTIF(T26,"偏食や時間がかかる")+COUNTIF(U26,"声かけでできる")+COUNTIF(V26,"声かけでできる")+COUNTIF(AA26,"ときどきある"))</f>
        <v/>
      </c>
      <c r="AO26" s="29">
        <f>IF($C26="","",IF(AM26&gt;=2,3,IF(OR(AM26=1,AN26&gt;=3),2,1)))</f>
        <v/>
      </c>
      <c r="AP26" s="27" t="n"/>
      <c r="AQ26" s="29">
        <f>IF($C26="","",COUNTIF(AB26,"非常に多い")+COUNTIF(AC26,"難しい")+COUNTIF(AD26,"不備が多い")+COUNTIF(AE26,"大きな差がある"))</f>
        <v/>
      </c>
      <c r="AR26" s="29">
        <f>IF($C26="","",IF(AQ26&gt;=3,3,IF(AQ26&gt;=2,2,1)))</f>
        <v/>
      </c>
      <c r="AS26" s="27" t="n"/>
    </row>
    <row r="27" ht="18" customHeight="1" s="20">
      <c r="A27" s="27" t="n"/>
      <c r="B27" s="27" t="n"/>
      <c r="C27" s="27" t="n"/>
      <c r="D27" s="27" t="n"/>
      <c r="E27" s="27" t="n"/>
      <c r="F27" s="27" t="n"/>
      <c r="G27" s="27" t="n"/>
      <c r="H27" s="28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8" t="n"/>
      <c r="S27" s="27" t="n"/>
      <c r="T27" s="27" t="n"/>
      <c r="U27" s="27" t="n"/>
      <c r="V27" s="27" t="n"/>
      <c r="W27" s="28" t="n"/>
      <c r="X27" s="27" t="n"/>
      <c r="Y27" s="28" t="n"/>
      <c r="Z27" s="28" t="n"/>
      <c r="AA27" s="27" t="n"/>
      <c r="AB27" s="27" t="n"/>
      <c r="AC27" s="27" t="n"/>
      <c r="AD27" s="27" t="n"/>
      <c r="AE27" s="27" t="n"/>
      <c r="AF27" s="27" t="n"/>
      <c r="AG27" s="27" t="n"/>
      <c r="AH27" s="28" t="n"/>
      <c r="AI27" s="27" t="n"/>
      <c r="AJ27" s="27" t="n"/>
      <c r="AK27" s="28" t="n"/>
      <c r="AL27" s="28" t="n"/>
      <c r="AM27" s="29">
        <f>IF($C27="","",COUNTIF(J27:P27,"要支援")+COUNTIF(Q27,"声かけでは変化なし")+COUNTIF(Q27,"支援を拒む・抵抗する")+COUNTIF(S27,"失敗が多い・援助が必要")+COUNTIF(T27,"偏食が強い・援助が必要")+COUNTIF(U27,"手伝いが必要")+COUNTIF(V27,"手伝いが必要")+COUNTIF(AA27,"よくある"))</f>
        <v/>
      </c>
      <c r="AN27" s="29">
        <f>IF($C27="","",COUNTIF(J27:P27,"見守り")+COUNTIF(Q27,"手を添える等が必要")+COUNTIF(S27,"ときどき失敗がある")+COUNTIF(T27,"偏食や時間がかかる")+COUNTIF(U27,"声かけでできる")+COUNTIF(V27,"声かけでできる")+COUNTIF(AA27,"ときどきある"))</f>
        <v/>
      </c>
      <c r="AO27" s="29">
        <f>IF($C27="","",IF(AM27&gt;=2,3,IF(OR(AM27=1,AN27&gt;=3),2,1)))</f>
        <v/>
      </c>
      <c r="AP27" s="27" t="n"/>
      <c r="AQ27" s="29">
        <f>IF($C27="","",COUNTIF(AB27,"非常に多い")+COUNTIF(AC27,"難しい")+COUNTIF(AD27,"不備が多い")+COUNTIF(AE27,"大きな差がある"))</f>
        <v/>
      </c>
      <c r="AR27" s="29">
        <f>IF($C27="","",IF(AQ27&gt;=3,3,IF(AQ27&gt;=2,2,1)))</f>
        <v/>
      </c>
      <c r="AS27" s="27" t="n"/>
    </row>
    <row r="28" ht="18" customHeight="1" s="20">
      <c r="A28" s="27" t="n"/>
      <c r="B28" s="27" t="n"/>
      <c r="C28" s="27" t="n"/>
      <c r="D28" s="27" t="n"/>
      <c r="E28" s="27" t="n"/>
      <c r="F28" s="27" t="n"/>
      <c r="G28" s="27" t="n"/>
      <c r="H28" s="28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8" t="n"/>
      <c r="S28" s="27" t="n"/>
      <c r="T28" s="27" t="n"/>
      <c r="U28" s="27" t="n"/>
      <c r="V28" s="27" t="n"/>
      <c r="W28" s="28" t="n"/>
      <c r="X28" s="27" t="n"/>
      <c r="Y28" s="28" t="n"/>
      <c r="Z28" s="28" t="n"/>
      <c r="AA28" s="27" t="n"/>
      <c r="AB28" s="27" t="n"/>
      <c r="AC28" s="27" t="n"/>
      <c r="AD28" s="27" t="n"/>
      <c r="AE28" s="27" t="n"/>
      <c r="AF28" s="27" t="n"/>
      <c r="AG28" s="27" t="n"/>
      <c r="AH28" s="28" t="n"/>
      <c r="AI28" s="27" t="n"/>
      <c r="AJ28" s="27" t="n"/>
      <c r="AK28" s="28" t="n"/>
      <c r="AL28" s="28" t="n"/>
      <c r="AM28" s="29">
        <f>IF($C28="","",COUNTIF(J28:P28,"要支援")+COUNTIF(Q28,"声かけでは変化なし")+COUNTIF(Q28,"支援を拒む・抵抗する")+COUNTIF(S28,"失敗が多い・援助が必要")+COUNTIF(T28,"偏食が強い・援助が必要")+COUNTIF(U28,"手伝いが必要")+COUNTIF(V28,"手伝いが必要")+COUNTIF(AA28,"よくある"))</f>
        <v/>
      </c>
      <c r="AN28" s="29">
        <f>IF($C28="","",COUNTIF(J28:P28,"見守り")+COUNTIF(Q28,"手を添える等が必要")+COUNTIF(S28,"ときどき失敗がある")+COUNTIF(T28,"偏食や時間がかかる")+COUNTIF(U28,"声かけでできる")+COUNTIF(V28,"声かけでできる")+COUNTIF(AA28,"ときどきある"))</f>
        <v/>
      </c>
      <c r="AO28" s="29">
        <f>IF($C28="","",IF(AM28&gt;=2,3,IF(OR(AM28=1,AN28&gt;=3),2,1)))</f>
        <v/>
      </c>
      <c r="AP28" s="27" t="n"/>
      <c r="AQ28" s="29">
        <f>IF($C28="","",COUNTIF(AB28,"非常に多い")+COUNTIF(AC28,"難しい")+COUNTIF(AD28,"不備が多い")+COUNTIF(AE28,"大きな差がある"))</f>
        <v/>
      </c>
      <c r="AR28" s="29">
        <f>IF($C28="","",IF(AQ28&gt;=3,3,IF(AQ28&gt;=2,2,1)))</f>
        <v/>
      </c>
      <c r="AS28" s="27" t="n"/>
    </row>
    <row r="29" ht="18" customHeight="1" s="20">
      <c r="A29" s="27" t="n"/>
      <c r="B29" s="27" t="n"/>
      <c r="C29" s="27" t="n"/>
      <c r="D29" s="27" t="n"/>
      <c r="E29" s="27" t="n"/>
      <c r="F29" s="27" t="n"/>
      <c r="G29" s="27" t="n"/>
      <c r="H29" s="28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8" t="n"/>
      <c r="S29" s="27" t="n"/>
      <c r="T29" s="27" t="n"/>
      <c r="U29" s="27" t="n"/>
      <c r="V29" s="27" t="n"/>
      <c r="W29" s="28" t="n"/>
      <c r="X29" s="27" t="n"/>
      <c r="Y29" s="28" t="n"/>
      <c r="Z29" s="28" t="n"/>
      <c r="AA29" s="27" t="n"/>
      <c r="AB29" s="27" t="n"/>
      <c r="AC29" s="27" t="n"/>
      <c r="AD29" s="27" t="n"/>
      <c r="AE29" s="27" t="n"/>
      <c r="AF29" s="27" t="n"/>
      <c r="AG29" s="27" t="n"/>
      <c r="AH29" s="28" t="n"/>
      <c r="AI29" s="27" t="n"/>
      <c r="AJ29" s="27" t="n"/>
      <c r="AK29" s="28" t="n"/>
      <c r="AL29" s="28" t="n"/>
      <c r="AM29" s="29">
        <f>IF($C29="","",COUNTIF(J29:P29,"要支援")+COUNTIF(Q29,"声かけでは変化なし")+COUNTIF(Q29,"支援を拒む・抵抗する")+COUNTIF(S29,"失敗が多い・援助が必要")+COUNTIF(T29,"偏食が強い・援助が必要")+COUNTIF(U29,"手伝いが必要")+COUNTIF(V29,"手伝いが必要")+COUNTIF(AA29,"よくある"))</f>
        <v/>
      </c>
      <c r="AN29" s="29">
        <f>IF($C29="","",COUNTIF(J29:P29,"見守り")+COUNTIF(Q29,"手を添える等が必要")+COUNTIF(S29,"ときどき失敗がある")+COUNTIF(T29,"偏食や時間がかかる")+COUNTIF(U29,"声かけでできる")+COUNTIF(V29,"声かけでできる")+COUNTIF(AA29,"ときどきある"))</f>
        <v/>
      </c>
      <c r="AO29" s="29">
        <f>IF($C29="","",IF(AM29&gt;=2,3,IF(OR(AM29=1,AN29&gt;=3),2,1)))</f>
        <v/>
      </c>
      <c r="AP29" s="27" t="n"/>
      <c r="AQ29" s="29">
        <f>IF($C29="","",COUNTIF(AB29,"非常に多い")+COUNTIF(AC29,"難しい")+COUNTIF(AD29,"不備が多い")+COUNTIF(AE29,"大きな差がある"))</f>
        <v/>
      </c>
      <c r="AR29" s="29">
        <f>IF($C29="","",IF(AQ29&gt;=3,3,IF(AQ29&gt;=2,2,1)))</f>
        <v/>
      </c>
      <c r="AS29" s="27" t="n"/>
    </row>
    <row r="30" ht="18" customHeight="1" s="20">
      <c r="A30" s="27" t="n"/>
      <c r="B30" s="27" t="n"/>
      <c r="C30" s="27" t="n"/>
      <c r="D30" s="27" t="n"/>
      <c r="E30" s="27" t="n"/>
      <c r="F30" s="27" t="n"/>
      <c r="G30" s="27" t="n"/>
      <c r="H30" s="28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8" t="n"/>
      <c r="S30" s="27" t="n"/>
      <c r="T30" s="27" t="n"/>
      <c r="U30" s="27" t="n"/>
      <c r="V30" s="27" t="n"/>
      <c r="W30" s="28" t="n"/>
      <c r="X30" s="27" t="n"/>
      <c r="Y30" s="28" t="n"/>
      <c r="Z30" s="28" t="n"/>
      <c r="AA30" s="27" t="n"/>
      <c r="AB30" s="27" t="n"/>
      <c r="AC30" s="27" t="n"/>
      <c r="AD30" s="27" t="n"/>
      <c r="AE30" s="27" t="n"/>
      <c r="AF30" s="27" t="n"/>
      <c r="AG30" s="27" t="n"/>
      <c r="AH30" s="28" t="n"/>
      <c r="AI30" s="27" t="n"/>
      <c r="AJ30" s="27" t="n"/>
      <c r="AK30" s="28" t="n"/>
      <c r="AL30" s="28" t="n"/>
      <c r="AM30" s="29">
        <f>IF($C30="","",COUNTIF(J30:P30,"要支援")+COUNTIF(Q30,"声かけでは変化なし")+COUNTIF(Q30,"支援を拒む・抵抗する")+COUNTIF(S30,"失敗が多い・援助が必要")+COUNTIF(T30,"偏食が強い・援助が必要")+COUNTIF(U30,"手伝いが必要")+COUNTIF(V30,"手伝いが必要")+COUNTIF(AA30,"よくある"))</f>
        <v/>
      </c>
      <c r="AN30" s="29">
        <f>IF($C30="","",COUNTIF(J30:P30,"見守り")+COUNTIF(Q30,"手を添える等が必要")+COUNTIF(S30,"ときどき失敗がある")+COUNTIF(T30,"偏食や時間がかかる")+COUNTIF(U30,"声かけでできる")+COUNTIF(V30,"声かけでできる")+COUNTIF(AA30,"ときどきある"))</f>
        <v/>
      </c>
      <c r="AO30" s="29">
        <f>IF($C30="","",IF(AM30&gt;=2,3,IF(OR(AM30=1,AN30&gt;=3),2,1)))</f>
        <v/>
      </c>
      <c r="AP30" s="27" t="n"/>
      <c r="AQ30" s="29">
        <f>IF($C30="","",COUNTIF(AB30,"非常に多い")+COUNTIF(AC30,"難しい")+COUNTIF(AD30,"不備が多い")+COUNTIF(AE30,"大きな差がある"))</f>
        <v/>
      </c>
      <c r="AR30" s="29">
        <f>IF($C30="","",IF(AQ30&gt;=3,3,IF(AQ30&gt;=2,2,1)))</f>
        <v/>
      </c>
      <c r="AS30" s="27" t="n"/>
    </row>
    <row r="31" ht="18" customHeight="1" s="20">
      <c r="A31" s="27" t="n"/>
      <c r="B31" s="27" t="n"/>
      <c r="C31" s="27" t="n"/>
      <c r="D31" s="27" t="n"/>
      <c r="E31" s="27" t="n"/>
      <c r="F31" s="27" t="n"/>
      <c r="G31" s="27" t="n"/>
      <c r="H31" s="28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8" t="n"/>
      <c r="S31" s="27" t="n"/>
      <c r="T31" s="27" t="n"/>
      <c r="U31" s="27" t="n"/>
      <c r="V31" s="27" t="n"/>
      <c r="W31" s="28" t="n"/>
      <c r="X31" s="27" t="n"/>
      <c r="Y31" s="28" t="n"/>
      <c r="Z31" s="28" t="n"/>
      <c r="AA31" s="27" t="n"/>
      <c r="AB31" s="27" t="n"/>
      <c r="AC31" s="27" t="n"/>
      <c r="AD31" s="27" t="n"/>
      <c r="AE31" s="27" t="n"/>
      <c r="AF31" s="27" t="n"/>
      <c r="AG31" s="27" t="n"/>
      <c r="AH31" s="28" t="n"/>
      <c r="AI31" s="27" t="n"/>
      <c r="AJ31" s="27" t="n"/>
      <c r="AK31" s="28" t="n"/>
      <c r="AL31" s="28" t="n"/>
      <c r="AM31" s="29">
        <f>IF($C31="","",COUNTIF(J31:P31,"要支援")+COUNTIF(Q31,"声かけでは変化なし")+COUNTIF(Q31,"支援を拒む・抵抗する")+COUNTIF(S31,"失敗が多い・援助が必要")+COUNTIF(T31,"偏食が強い・援助が必要")+COUNTIF(U31,"手伝いが必要")+COUNTIF(V31,"手伝いが必要")+COUNTIF(AA31,"よくある"))</f>
        <v/>
      </c>
      <c r="AN31" s="29">
        <f>IF($C31="","",COUNTIF(J31:P31,"見守り")+COUNTIF(Q31,"手を添える等が必要")+COUNTIF(S31,"ときどき失敗がある")+COUNTIF(T31,"偏食や時間がかかる")+COUNTIF(U31,"声かけでできる")+COUNTIF(V31,"声かけでできる")+COUNTIF(AA31,"ときどきある"))</f>
        <v/>
      </c>
      <c r="AO31" s="29">
        <f>IF($C31="","",IF(AM31&gt;=2,3,IF(OR(AM31=1,AN31&gt;=3),2,1)))</f>
        <v/>
      </c>
      <c r="AP31" s="27" t="n"/>
      <c r="AQ31" s="29">
        <f>IF($C31="","",COUNTIF(AB31,"非常に多い")+COUNTIF(AC31,"難しい")+COUNTIF(AD31,"不備が多い")+COUNTIF(AE31,"大きな差がある"))</f>
        <v/>
      </c>
      <c r="AR31" s="29">
        <f>IF($C31="","",IF(AQ31&gt;=3,3,IF(AQ31&gt;=2,2,1)))</f>
        <v/>
      </c>
      <c r="AS31" s="27" t="n"/>
    </row>
    <row r="32" ht="18" customHeight="1" s="20">
      <c r="A32" s="27" t="n"/>
      <c r="B32" s="27" t="n"/>
      <c r="C32" s="27" t="n"/>
      <c r="D32" s="30" t="n"/>
      <c r="E32" s="27" t="n"/>
      <c r="F32" s="27" t="n"/>
      <c r="G32" s="27" t="n"/>
      <c r="H32" s="28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8" t="n"/>
      <c r="S32" s="27" t="n"/>
      <c r="T32" s="27" t="n"/>
      <c r="U32" s="27" t="n"/>
      <c r="V32" s="27" t="n"/>
      <c r="W32" s="28" t="n"/>
      <c r="X32" s="27" t="n"/>
      <c r="Y32" s="28" t="n"/>
      <c r="Z32" s="28" t="n"/>
      <c r="AA32" s="27" t="n"/>
      <c r="AB32" s="27" t="n"/>
      <c r="AC32" s="27" t="n"/>
      <c r="AD32" s="27" t="n"/>
      <c r="AE32" s="27" t="n"/>
      <c r="AF32" s="27" t="n"/>
      <c r="AG32" s="27" t="n"/>
      <c r="AH32" s="28" t="n"/>
      <c r="AI32" s="27" t="n"/>
      <c r="AJ32" s="27" t="n"/>
      <c r="AK32" s="28" t="n"/>
      <c r="AL32" s="28" t="n"/>
      <c r="AM32" s="29">
        <f>IF($C32="","",COUNTIF(J32:P32,"要支援")+COUNTIF(Q32,"声かけでは変化なし")+COUNTIF(Q32,"支援を拒む・抵抗する")+COUNTIF(S32,"失敗が多い・援助が必要")+COUNTIF(T32,"偏食が強い・援助が必要")+COUNTIF(U32,"手伝いが必要")+COUNTIF(V32,"手伝いが必要")+COUNTIF(AA32,"よくある"))</f>
        <v/>
      </c>
      <c r="AN32" s="29">
        <f>IF($C32="","",COUNTIF(J32:P32,"見守り")+COUNTIF(Q32,"手を添える等が必要")+COUNTIF(S32,"ときどき失敗がある")+COUNTIF(T32,"偏食や時間がかかる")+COUNTIF(U32,"声かけでできる")+COUNTIF(V32,"声かけでできる")+COUNTIF(AA32,"ときどきある"))</f>
        <v/>
      </c>
      <c r="AO32" s="29">
        <f>IF($C32="","",IF(AM32&gt;=2,3,IF(OR(AM32=1,AN32&gt;=3),2,1)))</f>
        <v/>
      </c>
      <c r="AP32" s="27" t="n"/>
      <c r="AQ32" s="29">
        <f>IF($C32="","",COUNTIF(AB32,"非常に多い")+COUNTIF(AC32,"難しい")+COUNTIF(AD32,"不備が多い")+COUNTIF(AE32,"大きな差がある"))</f>
        <v/>
      </c>
      <c r="AR32" s="29">
        <f>IF($C32="","",IF(AQ32&gt;=3,3,IF(AQ32&gt;=2,2,1)))</f>
        <v/>
      </c>
      <c r="AS32" s="27" t="n"/>
    </row>
    <row r="33" ht="18" customHeight="1" s="20">
      <c r="A33" s="27" t="n"/>
      <c r="B33" s="27" t="n"/>
      <c r="C33" s="27" t="n"/>
      <c r="D33" s="27" t="n"/>
      <c r="E33" s="27" t="n"/>
      <c r="F33" s="27" t="n"/>
      <c r="G33" s="27" t="n"/>
      <c r="H33" s="28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8" t="n"/>
      <c r="S33" s="27" t="n"/>
      <c r="T33" s="27" t="n"/>
      <c r="U33" s="27" t="n"/>
      <c r="V33" s="27" t="n"/>
      <c r="W33" s="28" t="n"/>
      <c r="X33" s="27" t="n"/>
      <c r="Y33" s="28" t="n"/>
      <c r="Z33" s="28" t="n"/>
      <c r="AA33" s="27" t="n"/>
      <c r="AB33" s="27" t="n"/>
      <c r="AC33" s="27" t="n"/>
      <c r="AD33" s="27" t="n"/>
      <c r="AE33" s="27" t="n"/>
      <c r="AF33" s="27" t="n"/>
      <c r="AG33" s="27" t="n"/>
      <c r="AH33" s="28" t="n"/>
      <c r="AI33" s="27" t="n"/>
      <c r="AJ33" s="27" t="n"/>
      <c r="AK33" s="28" t="n"/>
      <c r="AL33" s="28" t="n"/>
      <c r="AM33" s="29">
        <f>IF($C33="","",COUNTIF(J33:P33,"要支援")+COUNTIF(Q33,"声かけでは変化なし")+COUNTIF(Q33,"支援を拒む・抵抗する")+COUNTIF(S33,"失敗が多い・援助が必要")+COUNTIF(T33,"偏食が強い・援助が必要")+COUNTIF(U33,"手伝いが必要")+COUNTIF(V33,"手伝いが必要")+COUNTIF(AA33,"よくある"))</f>
        <v/>
      </c>
      <c r="AN33" s="29">
        <f>IF($C33="","",COUNTIF(J33:P33,"見守り")+COUNTIF(Q33,"手を添える等が必要")+COUNTIF(S33,"ときどき失敗がある")+COUNTIF(T33,"偏食や時間がかかる")+COUNTIF(U33,"声かけでできる")+COUNTIF(V33,"声かけでできる")+COUNTIF(AA33,"ときどきある"))</f>
        <v/>
      </c>
      <c r="AO33" s="29">
        <f>IF($C33="","",IF(AM33&gt;=2,3,IF(OR(AM33=1,AN33&gt;=3),2,1)))</f>
        <v/>
      </c>
      <c r="AP33" s="27" t="n"/>
      <c r="AQ33" s="29">
        <f>IF($C33="","",COUNTIF(AB33,"非常に多い")+COUNTIF(AC33,"難しい")+COUNTIF(AD33,"不備が多い")+COUNTIF(AE33,"大きな差がある"))</f>
        <v/>
      </c>
      <c r="AR33" s="29">
        <f>IF($C33="","",IF(AQ33&gt;=3,3,IF(AQ33&gt;=2,2,1)))</f>
        <v/>
      </c>
      <c r="AS33" s="27" t="n"/>
    </row>
    <row r="34" ht="18" customHeight="1" s="20">
      <c r="A34" s="27" t="n"/>
      <c r="B34" s="27" t="n"/>
      <c r="C34" s="27" t="n"/>
      <c r="D34" s="27" t="n"/>
      <c r="E34" s="27" t="n"/>
      <c r="F34" s="27" t="n"/>
      <c r="G34" s="27" t="n"/>
      <c r="H34" s="28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8" t="n"/>
      <c r="S34" s="27" t="n"/>
      <c r="T34" s="27" t="n"/>
      <c r="U34" s="27" t="n"/>
      <c r="V34" s="27" t="n"/>
      <c r="W34" s="28" t="n"/>
      <c r="X34" s="27" t="n"/>
      <c r="Y34" s="28" t="n"/>
      <c r="Z34" s="28" t="n"/>
      <c r="AA34" s="27" t="n"/>
      <c r="AB34" s="27" t="n"/>
      <c r="AC34" s="27" t="n"/>
      <c r="AD34" s="27" t="n"/>
      <c r="AE34" s="27" t="n"/>
      <c r="AF34" s="27" t="n"/>
      <c r="AG34" s="27" t="n"/>
      <c r="AH34" s="28" t="n"/>
      <c r="AI34" s="27" t="n"/>
      <c r="AJ34" s="27" t="n"/>
      <c r="AK34" s="28" t="n"/>
      <c r="AL34" s="28" t="n"/>
      <c r="AM34" s="29">
        <f>IF($C34="","",COUNTIF(J34:P34,"要支援")+COUNTIF(Q34,"声かけでは変化なし")+COUNTIF(Q34,"支援を拒む・抵抗する")+COUNTIF(S34,"失敗が多い・援助が必要")+COUNTIF(T34,"偏食が強い・援助が必要")+COUNTIF(U34,"手伝いが必要")+COUNTIF(V34,"手伝いが必要")+COUNTIF(AA34,"よくある"))</f>
        <v/>
      </c>
      <c r="AN34" s="29">
        <f>IF($C34="","",COUNTIF(J34:P34,"見守り")+COUNTIF(Q34,"手を添える等が必要")+COUNTIF(S34,"ときどき失敗がある")+COUNTIF(T34,"偏食や時間がかかる")+COUNTIF(U34,"声かけでできる")+COUNTIF(V34,"声かけでできる")+COUNTIF(AA34,"ときどきある"))</f>
        <v/>
      </c>
      <c r="AO34" s="29">
        <f>IF($C34="","",IF(AM34&gt;=2,3,IF(OR(AM34=1,AN34&gt;=3),2,1)))</f>
        <v/>
      </c>
      <c r="AP34" s="27" t="n"/>
      <c r="AQ34" s="29">
        <f>IF($C34="","",COUNTIF(AB34,"非常に多い")+COUNTIF(AC34,"難しい")+COUNTIF(AD34,"不備が多い")+COUNTIF(AE34,"大きな差がある"))</f>
        <v/>
      </c>
      <c r="AR34" s="29">
        <f>IF($C34="","",IF(AQ34&gt;=3,3,IF(AQ34&gt;=2,2,1)))</f>
        <v/>
      </c>
      <c r="AS34" s="27" t="n"/>
    </row>
    <row r="35" ht="18" customHeight="1" s="20">
      <c r="A35" s="27" t="n"/>
      <c r="B35" s="27" t="n"/>
      <c r="C35" s="27" t="n"/>
      <c r="D35" s="27" t="n"/>
      <c r="E35" s="27" t="n"/>
      <c r="F35" s="27" t="n"/>
      <c r="G35" s="27" t="n"/>
      <c r="H35" s="28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8" t="n"/>
      <c r="S35" s="27" t="n"/>
      <c r="T35" s="27" t="n"/>
      <c r="U35" s="27" t="n"/>
      <c r="V35" s="27" t="n"/>
      <c r="W35" s="28" t="n"/>
      <c r="X35" s="27" t="n"/>
      <c r="Y35" s="28" t="n"/>
      <c r="Z35" s="28" t="n"/>
      <c r="AA35" s="27" t="n"/>
      <c r="AB35" s="27" t="n"/>
      <c r="AC35" s="27" t="n"/>
      <c r="AD35" s="27" t="n"/>
      <c r="AE35" s="27" t="n"/>
      <c r="AF35" s="27" t="n"/>
      <c r="AG35" s="27" t="n"/>
      <c r="AH35" s="28" t="n"/>
      <c r="AI35" s="27" t="n"/>
      <c r="AJ35" s="27" t="n"/>
      <c r="AK35" s="28" t="n"/>
      <c r="AL35" s="28" t="n"/>
      <c r="AM35" s="29">
        <f>IF($C35="","",COUNTIF(J35:P35,"要支援")+COUNTIF(Q35,"声かけでは変化なし")+COUNTIF(Q35,"支援を拒む・抵抗する")+COUNTIF(S35,"失敗が多い・援助が必要")+COUNTIF(T35,"偏食が強い・援助が必要")+COUNTIF(U35,"手伝いが必要")+COUNTIF(V35,"手伝いが必要")+COUNTIF(AA35,"よくある"))</f>
        <v/>
      </c>
      <c r="AN35" s="29">
        <f>IF($C35="","",COUNTIF(J35:P35,"見守り")+COUNTIF(Q35,"手を添える等が必要")+COUNTIF(S35,"ときどき失敗がある")+COUNTIF(T35,"偏食や時間がかかる")+COUNTIF(U35,"声かけでできる")+COUNTIF(V35,"声かけでできる")+COUNTIF(AA35,"ときどきある"))</f>
        <v/>
      </c>
      <c r="AO35" s="29">
        <f>IF($C35="","",IF(AM35&gt;=2,3,IF(OR(AM35=1,AN35&gt;=3),2,1)))</f>
        <v/>
      </c>
      <c r="AP35" s="27" t="n"/>
      <c r="AQ35" s="29">
        <f>IF($C35="","",COUNTIF(AB35,"非常に多い")+COUNTIF(AC35,"難しい")+COUNTIF(AD35,"不備が多い")+COUNTIF(AE35,"大きな差がある"))</f>
        <v/>
      </c>
      <c r="AR35" s="29">
        <f>IF($C35="","",IF(AQ35&gt;=3,3,IF(AQ35&gt;=2,2,1)))</f>
        <v/>
      </c>
      <c r="AS35" s="27" t="n"/>
    </row>
    <row r="36" ht="18" customHeight="1" s="20">
      <c r="A36" s="27" t="n"/>
      <c r="B36" s="27" t="n"/>
      <c r="C36" s="27" t="n"/>
      <c r="D36" s="27" t="n"/>
      <c r="E36" s="27" t="n"/>
      <c r="F36" s="27" t="n"/>
      <c r="G36" s="27" t="n"/>
      <c r="H36" s="28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8" t="n"/>
      <c r="S36" s="27" t="n"/>
      <c r="T36" s="27" t="n"/>
      <c r="U36" s="27" t="n"/>
      <c r="V36" s="27" t="n"/>
      <c r="W36" s="28" t="n"/>
      <c r="X36" s="27" t="n"/>
      <c r="Y36" s="28" t="n"/>
      <c r="Z36" s="28" t="n"/>
      <c r="AA36" s="27" t="n"/>
      <c r="AB36" s="27" t="n"/>
      <c r="AC36" s="27" t="n"/>
      <c r="AD36" s="27" t="n"/>
      <c r="AE36" s="27" t="n"/>
      <c r="AF36" s="27" t="n"/>
      <c r="AG36" s="27" t="n"/>
      <c r="AH36" s="28" t="n"/>
      <c r="AI36" s="27" t="n"/>
      <c r="AJ36" s="27" t="n"/>
      <c r="AK36" s="28" t="n"/>
      <c r="AL36" s="28" t="n"/>
      <c r="AM36" s="29">
        <f>IF($C36="","",COUNTIF(J36:P36,"要支援")+COUNTIF(Q36,"声かけでは変化なし")+COUNTIF(Q36,"支援を拒む・抵抗する")+COUNTIF(S36,"失敗が多い・援助が必要")+COUNTIF(T36,"偏食が強い・援助が必要")+COUNTIF(U36,"手伝いが必要")+COUNTIF(V36,"手伝いが必要")+COUNTIF(AA36,"よくある"))</f>
        <v/>
      </c>
      <c r="AN36" s="29">
        <f>IF($C36="","",COUNTIF(J36:P36,"見守り")+COUNTIF(Q36,"手を添える等が必要")+COUNTIF(S36,"ときどき失敗がある")+COUNTIF(T36,"偏食や時間がかかる")+COUNTIF(U36,"声かけでできる")+COUNTIF(V36,"声かけでできる")+COUNTIF(AA36,"ときどきある"))</f>
        <v/>
      </c>
      <c r="AO36" s="29">
        <f>IF($C36="","",IF(AM36&gt;=2,3,IF(OR(AM36=1,AN36&gt;=3),2,1)))</f>
        <v/>
      </c>
      <c r="AP36" s="27" t="n"/>
      <c r="AQ36" s="29">
        <f>IF($C36="","",COUNTIF(AB36,"非常に多い")+COUNTIF(AC36,"難しい")+COUNTIF(AD36,"不備が多い")+COUNTIF(AE36,"大きな差がある"))</f>
        <v/>
      </c>
      <c r="AR36" s="29">
        <f>IF($C36="","",IF(AQ36&gt;=3,3,IF(AQ36&gt;=2,2,1)))</f>
        <v/>
      </c>
      <c r="AS36" s="27" t="n"/>
    </row>
    <row r="37" ht="18" customHeight="1" s="20">
      <c r="A37" s="27" t="n"/>
      <c r="B37" s="27" t="n"/>
      <c r="C37" s="27" t="n"/>
      <c r="D37" s="27" t="n"/>
      <c r="E37" s="27" t="n"/>
      <c r="F37" s="27" t="n"/>
      <c r="G37" s="27" t="n"/>
      <c r="H37" s="28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8" t="n"/>
      <c r="S37" s="27" t="n"/>
      <c r="T37" s="27" t="n"/>
      <c r="U37" s="27" t="n"/>
      <c r="V37" s="27" t="n"/>
      <c r="W37" s="28" t="n"/>
      <c r="X37" s="27" t="n"/>
      <c r="Y37" s="28" t="n"/>
      <c r="Z37" s="28" t="n"/>
      <c r="AA37" s="27" t="n"/>
      <c r="AB37" s="27" t="n"/>
      <c r="AC37" s="27" t="n"/>
      <c r="AD37" s="27" t="n"/>
      <c r="AE37" s="27" t="n"/>
      <c r="AF37" s="27" t="n"/>
      <c r="AG37" s="27" t="n"/>
      <c r="AH37" s="28" t="n"/>
      <c r="AI37" s="27" t="n"/>
      <c r="AJ37" s="27" t="n"/>
      <c r="AK37" s="28" t="n"/>
      <c r="AL37" s="28" t="n"/>
      <c r="AM37" s="29">
        <f>IF($C37="","",COUNTIF(J37:P37,"要支援")+COUNTIF(Q37,"声かけでは変化なし")+COUNTIF(Q37,"支援を拒む・抵抗する")+COUNTIF(S37,"失敗が多い・援助が必要")+COUNTIF(T37,"偏食が強い・援助が必要")+COUNTIF(U37,"手伝いが必要")+COUNTIF(V37,"手伝いが必要")+COUNTIF(AA37,"よくある"))</f>
        <v/>
      </c>
      <c r="AN37" s="29">
        <f>IF($C37="","",COUNTIF(J37:P37,"見守り")+COUNTIF(Q37,"手を添える等が必要")+COUNTIF(S37,"ときどき失敗がある")+COUNTIF(T37,"偏食や時間がかかる")+COUNTIF(U37,"声かけでできる")+COUNTIF(V37,"声かけでできる")+COUNTIF(AA37,"ときどきある"))</f>
        <v/>
      </c>
      <c r="AO37" s="29">
        <f>IF($C37="","",IF(AM37&gt;=2,3,IF(OR(AM37=1,AN37&gt;=3),2,1)))</f>
        <v/>
      </c>
      <c r="AP37" s="27" t="n"/>
      <c r="AQ37" s="29">
        <f>IF($C37="","",COUNTIF(AB37,"非常に多い")+COUNTIF(AC37,"難しい")+COUNTIF(AD37,"不備が多い")+COUNTIF(AE37,"大きな差がある"))</f>
        <v/>
      </c>
      <c r="AR37" s="29">
        <f>IF($C37="","",IF(AQ37&gt;=3,3,IF(AQ37&gt;=2,2,1)))</f>
        <v/>
      </c>
      <c r="AS37" s="27" t="n"/>
    </row>
    <row r="38" ht="18" customHeight="1" s="20">
      <c r="A38" s="27" t="n"/>
      <c r="B38" s="27" t="n"/>
      <c r="C38" s="27" t="n"/>
      <c r="D38" s="27" t="n"/>
      <c r="E38" s="27" t="n"/>
      <c r="F38" s="27" t="n"/>
      <c r="G38" s="27" t="n"/>
      <c r="H38" s="28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8" t="n"/>
      <c r="S38" s="27" t="n"/>
      <c r="T38" s="27" t="n"/>
      <c r="U38" s="27" t="n"/>
      <c r="V38" s="27" t="n"/>
      <c r="W38" s="28" t="n"/>
      <c r="X38" s="27" t="n"/>
      <c r="Y38" s="28" t="n"/>
      <c r="Z38" s="28" t="n"/>
      <c r="AA38" s="27" t="n"/>
      <c r="AB38" s="27" t="n"/>
      <c r="AC38" s="27" t="n"/>
      <c r="AD38" s="27" t="n"/>
      <c r="AE38" s="27" t="n"/>
      <c r="AF38" s="27" t="n"/>
      <c r="AG38" s="27" t="n"/>
      <c r="AH38" s="28" t="n"/>
      <c r="AI38" s="27" t="n"/>
      <c r="AJ38" s="27" t="n"/>
      <c r="AK38" s="28" t="n"/>
      <c r="AL38" s="28" t="n"/>
      <c r="AM38" s="29">
        <f>IF($C38="","",COUNTIF(J38:P38,"要支援")+COUNTIF(Q38,"声かけでは変化なし")+COUNTIF(Q38,"支援を拒む・抵抗する")+COUNTIF(S38,"失敗が多い・援助が必要")+COUNTIF(T38,"偏食が強い・援助が必要")+COUNTIF(U38,"手伝いが必要")+COUNTIF(V38,"手伝いが必要")+COUNTIF(AA38,"よくある"))</f>
        <v/>
      </c>
      <c r="AN38" s="29">
        <f>IF($C38="","",COUNTIF(J38:P38,"見守り")+COUNTIF(Q38,"手を添える等が必要")+COUNTIF(S38,"ときどき失敗がある")+COUNTIF(T38,"偏食や時間がかかる")+COUNTIF(U38,"声かけでできる")+COUNTIF(V38,"声かけでできる")+COUNTIF(AA38,"ときどきある"))</f>
        <v/>
      </c>
      <c r="AO38" s="29">
        <f>IF($C38="","",IF(AM38&gt;=2,3,IF(OR(AM38=1,AN38&gt;=3),2,1)))</f>
        <v/>
      </c>
      <c r="AP38" s="27" t="n"/>
      <c r="AQ38" s="29">
        <f>IF($C38="","",COUNTIF(AB38,"非常に多い")+COUNTIF(AC38,"難しい")+COUNTIF(AD38,"不備が多い")+COUNTIF(AE38,"大きな差がある"))</f>
        <v/>
      </c>
      <c r="AR38" s="29">
        <f>IF($C38="","",IF(AQ38&gt;=3,3,IF(AQ38&gt;=2,2,1)))</f>
        <v/>
      </c>
      <c r="AS38" s="27" t="n"/>
    </row>
    <row r="39" ht="18" customHeight="1" s="20">
      <c r="A39" s="27" t="n"/>
      <c r="B39" s="27" t="n"/>
      <c r="C39" s="27" t="n"/>
      <c r="D39" s="27" t="n"/>
      <c r="E39" s="27" t="n"/>
      <c r="F39" s="27" t="n"/>
      <c r="G39" s="27" t="n"/>
      <c r="H39" s="28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8" t="n"/>
      <c r="S39" s="27" t="n"/>
      <c r="T39" s="27" t="n"/>
      <c r="U39" s="27" t="n"/>
      <c r="V39" s="27" t="n"/>
      <c r="W39" s="28" t="n"/>
      <c r="X39" s="27" t="n"/>
      <c r="Y39" s="28" t="n"/>
      <c r="Z39" s="28" t="n"/>
      <c r="AA39" s="27" t="n"/>
      <c r="AB39" s="27" t="n"/>
      <c r="AC39" s="27" t="n"/>
      <c r="AD39" s="27" t="n"/>
      <c r="AE39" s="27" t="n"/>
      <c r="AF39" s="27" t="n"/>
      <c r="AG39" s="27" t="n"/>
      <c r="AH39" s="28" t="n"/>
      <c r="AI39" s="27" t="n"/>
      <c r="AJ39" s="27" t="n"/>
      <c r="AK39" s="28" t="n"/>
      <c r="AL39" s="28" t="n"/>
      <c r="AM39" s="29">
        <f>IF($C39="","",COUNTIF(J39:P39,"要支援")+COUNTIF(Q39,"声かけでは変化なし")+COUNTIF(Q39,"支援を拒む・抵抗する")+COUNTIF(S39,"失敗が多い・援助が必要")+COUNTIF(T39,"偏食が強い・援助が必要")+COUNTIF(U39,"手伝いが必要")+COUNTIF(V39,"手伝いが必要")+COUNTIF(AA39,"よくある"))</f>
        <v/>
      </c>
      <c r="AN39" s="29">
        <f>IF($C39="","",COUNTIF(J39:P39,"見守り")+COUNTIF(Q39,"手を添える等が必要")+COUNTIF(S39,"ときどき失敗がある")+COUNTIF(T39,"偏食や時間がかかる")+COUNTIF(U39,"声かけでできる")+COUNTIF(V39,"声かけでできる")+COUNTIF(AA39,"ときどきある"))</f>
        <v/>
      </c>
      <c r="AO39" s="29">
        <f>IF($C39="","",IF(AM39&gt;=2,3,IF(OR(AM39=1,AN39&gt;=3),2,1)))</f>
        <v/>
      </c>
      <c r="AP39" s="27" t="n"/>
      <c r="AQ39" s="29">
        <f>IF($C39="","",COUNTIF(AB39,"非常に多い")+COUNTIF(AC39,"難しい")+COUNTIF(AD39,"不備が多い")+COUNTIF(AE39,"大きな差がある"))</f>
        <v/>
      </c>
      <c r="AR39" s="29">
        <f>IF($C39="","",IF(AQ39&gt;=3,3,IF(AQ39&gt;=2,2,1)))</f>
        <v/>
      </c>
      <c r="AS39" s="27" t="n"/>
    </row>
    <row r="40" ht="18" customHeight="1" s="20">
      <c r="A40" s="27" t="n"/>
      <c r="B40" s="27" t="n"/>
      <c r="C40" s="27" t="n"/>
      <c r="D40" s="27" t="n"/>
      <c r="E40" s="27" t="n"/>
      <c r="F40" s="27" t="n"/>
      <c r="G40" s="27" t="n"/>
      <c r="H40" s="28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8" t="n"/>
      <c r="S40" s="27" t="n"/>
      <c r="T40" s="27" t="n"/>
      <c r="U40" s="27" t="n"/>
      <c r="V40" s="27" t="n"/>
      <c r="W40" s="28" t="n"/>
      <c r="X40" s="27" t="n"/>
      <c r="Y40" s="28" t="n"/>
      <c r="Z40" s="28" t="n"/>
      <c r="AA40" s="27" t="n"/>
      <c r="AB40" s="27" t="n"/>
      <c r="AC40" s="27" t="n"/>
      <c r="AD40" s="27" t="n"/>
      <c r="AE40" s="27" t="n"/>
      <c r="AF40" s="27" t="n"/>
      <c r="AG40" s="27" t="n"/>
      <c r="AH40" s="28" t="n"/>
      <c r="AI40" s="27" t="n"/>
      <c r="AJ40" s="27" t="n"/>
      <c r="AK40" s="28" t="n"/>
      <c r="AL40" s="28" t="n"/>
      <c r="AM40" s="29">
        <f>IF($C40="","",COUNTIF(J40:P40,"要支援")+COUNTIF(Q40,"声かけでは変化なし")+COUNTIF(Q40,"支援を拒む・抵抗する")+COUNTIF(S40,"失敗が多い・援助が必要")+COUNTIF(T40,"偏食が強い・援助が必要")+COUNTIF(U40,"手伝いが必要")+COUNTIF(V40,"手伝いが必要")+COUNTIF(AA40,"よくある"))</f>
        <v/>
      </c>
      <c r="AN40" s="29">
        <f>IF($C40="","",COUNTIF(J40:P40,"見守り")+COUNTIF(Q40,"手を添える等が必要")+COUNTIF(S40,"ときどき失敗がある")+COUNTIF(T40,"偏食や時間がかかる")+COUNTIF(U40,"声かけでできる")+COUNTIF(V40,"声かけでできる")+COUNTIF(AA40,"ときどきある"))</f>
        <v/>
      </c>
      <c r="AO40" s="29">
        <f>IF($C40="","",IF(AM40&gt;=2,3,IF(OR(AM40=1,AN40&gt;=3),2,1)))</f>
        <v/>
      </c>
      <c r="AP40" s="27" t="n"/>
      <c r="AQ40" s="29">
        <f>IF($C40="","",COUNTIF(AB40,"非常に多い")+COUNTIF(AC40,"難しい")+COUNTIF(AD40,"不備が多い")+COUNTIF(AE40,"大きな差がある"))</f>
        <v/>
      </c>
      <c r="AR40" s="29">
        <f>IF($C40="","",IF(AQ40&gt;=3,3,IF(AQ40&gt;=2,2,1)))</f>
        <v/>
      </c>
      <c r="AS40" s="27" t="n"/>
    </row>
    <row r="41" ht="18" customHeight="1" s="20">
      <c r="A41" s="27" t="n"/>
      <c r="B41" s="27" t="n"/>
      <c r="C41" s="27" t="n"/>
      <c r="D41" s="27" t="n"/>
      <c r="E41" s="27" t="n"/>
      <c r="F41" s="27" t="n"/>
      <c r="G41" s="27" t="n"/>
      <c r="H41" s="28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8" t="n"/>
      <c r="S41" s="27" t="n"/>
      <c r="T41" s="27" t="n"/>
      <c r="U41" s="27" t="n"/>
      <c r="V41" s="27" t="n"/>
      <c r="W41" s="28" t="n"/>
      <c r="X41" s="27" t="n"/>
      <c r="Y41" s="28" t="n"/>
      <c r="Z41" s="28" t="n"/>
      <c r="AA41" s="27" t="n"/>
      <c r="AB41" s="27" t="n"/>
      <c r="AC41" s="27" t="n"/>
      <c r="AD41" s="27" t="n"/>
      <c r="AE41" s="27" t="n"/>
      <c r="AF41" s="27" t="n"/>
      <c r="AG41" s="27" t="n"/>
      <c r="AH41" s="28" t="n"/>
      <c r="AI41" s="27" t="n"/>
      <c r="AJ41" s="27" t="n"/>
      <c r="AK41" s="28" t="n"/>
      <c r="AL41" s="28" t="n"/>
      <c r="AM41" s="29">
        <f>IF($C41="","",COUNTIF(J41:P41,"要支援")+COUNTIF(Q41,"声かけでは変化なし")+COUNTIF(Q41,"支援を拒む・抵抗する")+COUNTIF(S41,"失敗が多い・援助が必要")+COUNTIF(T41,"偏食が強い・援助が必要")+COUNTIF(U41,"手伝いが必要")+COUNTIF(V41,"手伝いが必要")+COUNTIF(AA41,"よくある"))</f>
        <v/>
      </c>
      <c r="AN41" s="29">
        <f>IF($C41="","",COUNTIF(J41:P41,"見守り")+COUNTIF(Q41,"手を添える等が必要")+COUNTIF(S41,"ときどき失敗がある")+COUNTIF(T41,"偏食や時間がかかる")+COUNTIF(U41,"声かけでできる")+COUNTIF(V41,"声かけでできる")+COUNTIF(AA41,"ときどきある"))</f>
        <v/>
      </c>
      <c r="AO41" s="29">
        <f>IF($C41="","",IF(AM41&gt;=2,3,IF(OR(AM41=1,AN41&gt;=3),2,1)))</f>
        <v/>
      </c>
      <c r="AP41" s="27" t="n"/>
      <c r="AQ41" s="29">
        <f>IF($C41="","",COUNTIF(AB41,"非常に多い")+COUNTIF(AC41,"難しい")+COUNTIF(AD41,"不備が多い")+COUNTIF(AE41,"大きな差がある"))</f>
        <v/>
      </c>
      <c r="AR41" s="29">
        <f>IF($C41="","",IF(AQ41&gt;=3,3,IF(AQ41&gt;=2,2,1)))</f>
        <v/>
      </c>
      <c r="AS41" s="27" t="n"/>
    </row>
    <row r="42" ht="18" customHeight="1" s="20">
      <c r="A42" s="27" t="n"/>
      <c r="B42" s="27" t="n"/>
      <c r="C42" s="27" t="n"/>
      <c r="D42" s="27" t="n"/>
      <c r="E42" s="27" t="n"/>
      <c r="F42" s="27" t="n"/>
      <c r="G42" s="27" t="n"/>
      <c r="H42" s="28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8" t="n"/>
      <c r="S42" s="27" t="n"/>
      <c r="T42" s="27" t="n"/>
      <c r="U42" s="27" t="n"/>
      <c r="V42" s="27" t="n"/>
      <c r="W42" s="28" t="n"/>
      <c r="X42" s="27" t="n"/>
      <c r="Y42" s="28" t="n"/>
      <c r="Z42" s="28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27" t="n"/>
      <c r="AJ42" s="27" t="n"/>
      <c r="AK42" s="28" t="n"/>
      <c r="AL42" s="28" t="n"/>
      <c r="AM42" s="29">
        <f>IF($C42="","",COUNTIF(J42:P42,"要支援")+COUNTIF(Q42,"声かけでは変化なし")+COUNTIF(Q42,"支援を拒む・抵抗する")+COUNTIF(S42,"失敗が多い・援助が必要")+COUNTIF(T42,"偏食が強い・援助が必要")+COUNTIF(U42,"手伝いが必要")+COUNTIF(V42,"手伝いが必要")+COUNTIF(AA42,"よくある"))</f>
        <v/>
      </c>
      <c r="AN42" s="29">
        <f>IF($C42="","",COUNTIF(J42:P42,"見守り")+COUNTIF(Q42,"手を添える等が必要")+COUNTIF(S42,"ときどき失敗がある")+COUNTIF(T42,"偏食や時間がかかる")+COUNTIF(U42,"声かけでできる")+COUNTIF(V42,"声かけでできる")+COUNTIF(AA42,"ときどきある"))</f>
        <v/>
      </c>
      <c r="AO42" s="29">
        <f>IF($C42="","",IF(AM42&gt;=2,3,IF(OR(AM42=1,AN42&gt;=3),2,1)))</f>
        <v/>
      </c>
      <c r="AP42" s="27" t="n"/>
      <c r="AQ42" s="29">
        <f>IF($C42="","",COUNTIF(AB42,"非常に多い")+COUNTIF(AC42,"難しい")+COUNTIF(AD42,"不備が多い")+COUNTIF(AE42,"大きな差がある"))</f>
        <v/>
      </c>
      <c r="AR42" s="29">
        <f>IF($C42="","",IF(AQ42&gt;=3,3,IF(AQ42&gt;=2,2,1)))</f>
        <v/>
      </c>
      <c r="AS42" s="27" t="n"/>
    </row>
    <row r="43" ht="18" customHeight="1" s="20">
      <c r="A43" s="27" t="n"/>
      <c r="B43" s="27" t="n"/>
      <c r="C43" s="27" t="n"/>
      <c r="D43" s="27" t="n"/>
      <c r="E43" s="27" t="n"/>
      <c r="F43" s="27" t="n"/>
      <c r="G43" s="27" t="n"/>
      <c r="H43" s="28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8" t="n"/>
      <c r="S43" s="27" t="n"/>
      <c r="T43" s="27" t="n"/>
      <c r="U43" s="27" t="n"/>
      <c r="V43" s="27" t="n"/>
      <c r="W43" s="28" t="n"/>
      <c r="X43" s="27" t="n"/>
      <c r="Y43" s="28" t="n"/>
      <c r="Z43" s="28" t="n"/>
      <c r="AA43" s="27" t="n"/>
      <c r="AB43" s="27" t="n"/>
      <c r="AC43" s="27" t="n"/>
      <c r="AD43" s="27" t="n"/>
      <c r="AE43" s="27" t="n"/>
      <c r="AF43" s="27" t="n"/>
      <c r="AG43" s="27" t="n"/>
      <c r="AH43" s="28" t="n"/>
      <c r="AI43" s="27" t="n"/>
      <c r="AJ43" s="27" t="n"/>
      <c r="AK43" s="28" t="n"/>
      <c r="AL43" s="28" t="n"/>
      <c r="AM43" s="29">
        <f>IF($C43="","",COUNTIF(J43:P43,"要支援")+COUNTIF(Q43,"声かけでは変化なし")+COUNTIF(Q43,"支援を拒む・抵抗する")+COUNTIF(S43,"失敗が多い・援助が必要")+COUNTIF(T43,"偏食が強い・援助が必要")+COUNTIF(U43,"手伝いが必要")+COUNTIF(V43,"手伝いが必要")+COUNTIF(AA43,"よくある"))</f>
        <v/>
      </c>
      <c r="AN43" s="29">
        <f>IF($C43="","",COUNTIF(J43:P43,"見守り")+COUNTIF(Q43,"手を添える等が必要")+COUNTIF(S43,"ときどき失敗がある")+COUNTIF(T43,"偏食や時間がかかる")+COUNTIF(U43,"声かけでできる")+COUNTIF(V43,"声かけでできる")+COUNTIF(AA43,"ときどきある"))</f>
        <v/>
      </c>
      <c r="AO43" s="29">
        <f>IF($C43="","",IF(AM43&gt;=2,3,IF(OR(AM43=1,AN43&gt;=3),2,1)))</f>
        <v/>
      </c>
      <c r="AP43" s="27" t="n"/>
      <c r="AQ43" s="29">
        <f>IF($C43="","",COUNTIF(AB43,"非常に多い")+COUNTIF(AC43,"難しい")+COUNTIF(AD43,"不備が多い")+COUNTIF(AE43,"大きな差がある"))</f>
        <v/>
      </c>
      <c r="AR43" s="29">
        <f>IF($C43="","",IF(AQ43&gt;=3,3,IF(AQ43&gt;=2,2,1)))</f>
        <v/>
      </c>
      <c r="AS43" s="27" t="n"/>
    </row>
    <row r="44" ht="18" customHeight="1" s="20">
      <c r="A44" s="27" t="n"/>
      <c r="B44" s="27" t="n"/>
      <c r="C44" s="27" t="n"/>
      <c r="D44" s="27" t="n"/>
      <c r="E44" s="27" t="n"/>
      <c r="F44" s="27" t="n"/>
      <c r="G44" s="27" t="n"/>
      <c r="H44" s="28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8" t="n"/>
      <c r="S44" s="27" t="n"/>
      <c r="T44" s="27" t="n"/>
      <c r="U44" s="27" t="n"/>
      <c r="V44" s="27" t="n"/>
      <c r="W44" s="28" t="n"/>
      <c r="X44" s="27" t="n"/>
      <c r="Y44" s="28" t="n"/>
      <c r="Z44" s="28" t="n"/>
      <c r="AA44" s="27" t="n"/>
      <c r="AB44" s="27" t="n"/>
      <c r="AC44" s="27" t="n"/>
      <c r="AD44" s="27" t="n"/>
      <c r="AE44" s="27" t="n"/>
      <c r="AF44" s="27" t="n"/>
      <c r="AG44" s="27" t="n"/>
      <c r="AH44" s="28" t="n"/>
      <c r="AI44" s="27" t="n"/>
      <c r="AJ44" s="27" t="n"/>
      <c r="AK44" s="28" t="n"/>
      <c r="AL44" s="28" t="n"/>
      <c r="AM44" s="29">
        <f>IF($C44="","",COUNTIF(J44:P44,"要支援")+COUNTIF(Q44,"声かけでは変化なし")+COUNTIF(Q44,"支援を拒む・抵抗する")+COUNTIF(S44,"失敗が多い・援助が必要")+COUNTIF(T44,"偏食が強い・援助が必要")+COUNTIF(U44,"手伝いが必要")+COUNTIF(V44,"手伝いが必要")+COUNTIF(AA44,"よくある"))</f>
        <v/>
      </c>
      <c r="AN44" s="29">
        <f>IF($C44="","",COUNTIF(J44:P44,"見守り")+COUNTIF(Q44,"手を添える等が必要")+COUNTIF(S44,"ときどき失敗がある")+COUNTIF(T44,"偏食や時間がかかる")+COUNTIF(U44,"声かけでできる")+COUNTIF(V44,"声かけでできる")+COUNTIF(AA44,"ときどきある"))</f>
        <v/>
      </c>
      <c r="AO44" s="29">
        <f>IF($C44="","",IF(AM44&gt;=2,3,IF(OR(AM44=1,AN44&gt;=3),2,1)))</f>
        <v/>
      </c>
      <c r="AP44" s="27" t="n"/>
      <c r="AQ44" s="29">
        <f>IF($C44="","",COUNTIF(AB44,"非常に多い")+COUNTIF(AC44,"難しい")+COUNTIF(AD44,"不備が多い")+COUNTIF(AE44,"大きな差がある"))</f>
        <v/>
      </c>
      <c r="AR44" s="29">
        <f>IF($C44="","",IF(AQ44&gt;=3,3,IF(AQ44&gt;=2,2,1)))</f>
        <v/>
      </c>
      <c r="AS44" s="27" t="n"/>
    </row>
    <row r="45" ht="18" customHeight="1" s="20">
      <c r="A45" s="27" t="n"/>
      <c r="B45" s="27" t="n"/>
      <c r="C45" s="27" t="n"/>
      <c r="D45" s="27" t="n"/>
      <c r="E45" s="27" t="n"/>
      <c r="F45" s="27" t="n"/>
      <c r="G45" s="27" t="n"/>
      <c r="H45" s="28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8" t="n"/>
      <c r="S45" s="27" t="n"/>
      <c r="T45" s="27" t="n"/>
      <c r="U45" s="27" t="n"/>
      <c r="V45" s="27" t="n"/>
      <c r="W45" s="28" t="n"/>
      <c r="X45" s="27" t="n"/>
      <c r="Y45" s="28" t="n"/>
      <c r="Z45" s="28" t="n"/>
      <c r="AA45" s="27" t="n"/>
      <c r="AB45" s="27" t="n"/>
      <c r="AC45" s="27" t="n"/>
      <c r="AD45" s="27" t="n"/>
      <c r="AE45" s="27" t="n"/>
      <c r="AF45" s="27" t="n"/>
      <c r="AG45" s="27" t="n"/>
      <c r="AH45" s="28" t="n"/>
      <c r="AI45" s="27" t="n"/>
      <c r="AJ45" s="27" t="n"/>
      <c r="AK45" s="28" t="n"/>
      <c r="AL45" s="28" t="n"/>
      <c r="AM45" s="29">
        <f>IF($C45="","",COUNTIF(J45:P45,"要支援")+COUNTIF(Q45,"声かけでは変化なし")+COUNTIF(Q45,"支援を拒む・抵抗する")+COUNTIF(S45,"失敗が多い・援助が必要")+COUNTIF(T45,"偏食が強い・援助が必要")+COUNTIF(U45,"手伝いが必要")+COUNTIF(V45,"手伝いが必要")+COUNTIF(AA45,"よくある"))</f>
        <v/>
      </c>
      <c r="AN45" s="29">
        <f>IF($C45="","",COUNTIF(J45:P45,"見守り")+COUNTIF(Q45,"手を添える等が必要")+COUNTIF(S45,"ときどき失敗がある")+COUNTIF(T45,"偏食や時間がかかる")+COUNTIF(U45,"声かけでできる")+COUNTIF(V45,"声かけでできる")+COUNTIF(AA45,"ときどきある"))</f>
        <v/>
      </c>
      <c r="AO45" s="29">
        <f>IF($C45="","",IF(AM45&gt;=2,3,IF(OR(AM45=1,AN45&gt;=3),2,1)))</f>
        <v/>
      </c>
      <c r="AP45" s="27" t="n"/>
      <c r="AQ45" s="29">
        <f>IF($C45="","",COUNTIF(AB45,"非常に多い")+COUNTIF(AC45,"難しい")+COUNTIF(AD45,"不備が多い")+COUNTIF(AE45,"大きな差がある"))</f>
        <v/>
      </c>
      <c r="AR45" s="29">
        <f>IF($C45="","",IF(AQ45&gt;=3,3,IF(AQ45&gt;=2,2,1)))</f>
        <v/>
      </c>
      <c r="AS45" s="27" t="n"/>
    </row>
    <row r="46" ht="18" customHeight="1" s="20">
      <c r="A46" s="27" t="n"/>
      <c r="B46" s="27" t="n"/>
      <c r="C46" s="27" t="n"/>
      <c r="D46" s="27" t="n"/>
      <c r="E46" s="27" t="n"/>
      <c r="F46" s="27" t="n"/>
      <c r="G46" s="27" t="n"/>
      <c r="H46" s="28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8" t="n"/>
      <c r="S46" s="27" t="n"/>
      <c r="T46" s="27" t="n"/>
      <c r="U46" s="27" t="n"/>
      <c r="V46" s="27" t="n"/>
      <c r="W46" s="28" t="n"/>
      <c r="X46" s="27" t="n"/>
      <c r="Y46" s="28" t="n"/>
      <c r="Z46" s="28" t="n"/>
      <c r="AA46" s="27" t="n"/>
      <c r="AB46" s="27" t="n"/>
      <c r="AC46" s="27" t="n"/>
      <c r="AD46" s="27" t="n"/>
      <c r="AE46" s="27" t="n"/>
      <c r="AF46" s="27" t="n"/>
      <c r="AG46" s="27" t="n"/>
      <c r="AH46" s="28" t="n"/>
      <c r="AI46" s="27" t="n"/>
      <c r="AJ46" s="27" t="n"/>
      <c r="AK46" s="28" t="n"/>
      <c r="AL46" s="28" t="n"/>
      <c r="AM46" s="29">
        <f>IF($C46="","",COUNTIF(J46:P46,"要支援")+COUNTIF(Q46,"声かけでは変化なし")+COUNTIF(Q46,"支援を拒む・抵抗する")+COUNTIF(S46,"失敗が多い・援助が必要")+COUNTIF(T46,"偏食が強い・援助が必要")+COUNTIF(U46,"手伝いが必要")+COUNTIF(V46,"手伝いが必要")+COUNTIF(AA46,"よくある"))</f>
        <v/>
      </c>
      <c r="AN46" s="29">
        <f>IF($C46="","",COUNTIF(J46:P46,"見守り")+COUNTIF(Q46,"手を添える等が必要")+COUNTIF(S46,"ときどき失敗がある")+COUNTIF(T46,"偏食や時間がかかる")+COUNTIF(U46,"声かけでできる")+COUNTIF(V46,"声かけでできる")+COUNTIF(AA46,"ときどきある"))</f>
        <v/>
      </c>
      <c r="AO46" s="29">
        <f>IF($C46="","",IF(AM46&gt;=2,3,IF(OR(AM46=1,AN46&gt;=3),2,1)))</f>
        <v/>
      </c>
      <c r="AP46" s="27" t="n"/>
      <c r="AQ46" s="29">
        <f>IF($C46="","",COUNTIF(AB46,"非常に多い")+COUNTIF(AC46,"難しい")+COUNTIF(AD46,"不備が多い")+COUNTIF(AE46,"大きな差がある"))</f>
        <v/>
      </c>
      <c r="AR46" s="29">
        <f>IF($C46="","",IF(AQ46&gt;=3,3,IF(AQ46&gt;=2,2,1)))</f>
        <v/>
      </c>
      <c r="AS46" s="27" t="n"/>
    </row>
    <row r="47" ht="18" customHeight="1" s="20">
      <c r="A47" s="27" t="n"/>
      <c r="B47" s="27" t="n"/>
      <c r="C47" s="27" t="n"/>
      <c r="D47" s="27" t="n"/>
      <c r="E47" s="27" t="n"/>
      <c r="F47" s="27" t="n"/>
      <c r="G47" s="27" t="n"/>
      <c r="H47" s="28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8" t="n"/>
      <c r="S47" s="27" t="n"/>
      <c r="T47" s="27" t="n"/>
      <c r="U47" s="27" t="n"/>
      <c r="V47" s="27" t="n"/>
      <c r="W47" s="28" t="n"/>
      <c r="X47" s="27" t="n"/>
      <c r="Y47" s="28" t="n"/>
      <c r="Z47" s="28" t="n"/>
      <c r="AA47" s="27" t="n"/>
      <c r="AB47" s="27" t="n"/>
      <c r="AC47" s="27" t="n"/>
      <c r="AD47" s="27" t="n"/>
      <c r="AE47" s="27" t="n"/>
      <c r="AF47" s="27" t="n"/>
      <c r="AG47" s="27" t="n"/>
      <c r="AH47" s="28" t="n"/>
      <c r="AI47" s="27" t="n"/>
      <c r="AJ47" s="27" t="n"/>
      <c r="AK47" s="28" t="n"/>
      <c r="AL47" s="28" t="n"/>
      <c r="AM47" s="29">
        <f>IF($C47="","",COUNTIF(J47:P47,"要支援")+COUNTIF(Q47,"声かけでは変化なし")+COUNTIF(Q47,"支援を拒む・抵抗する")+COUNTIF(S47,"失敗が多い・援助が必要")+COUNTIF(T47,"偏食が強い・援助が必要")+COUNTIF(U47,"手伝いが必要")+COUNTIF(V47,"手伝いが必要")+COUNTIF(AA47,"よくある"))</f>
        <v/>
      </c>
      <c r="AN47" s="29">
        <f>IF($C47="","",COUNTIF(J47:P47,"見守り")+COUNTIF(Q47,"手を添える等が必要")+COUNTIF(S47,"ときどき失敗がある")+COUNTIF(T47,"偏食や時間がかかる")+COUNTIF(U47,"声かけでできる")+COUNTIF(V47,"声かけでできる")+COUNTIF(AA47,"ときどきある"))</f>
        <v/>
      </c>
      <c r="AO47" s="29">
        <f>IF($C47="","",IF(AM47&gt;=2,3,IF(OR(AM47=1,AN47&gt;=3),2,1)))</f>
        <v/>
      </c>
      <c r="AP47" s="27" t="n"/>
      <c r="AQ47" s="29">
        <f>IF($C47="","",COUNTIF(AB47,"非常に多い")+COUNTIF(AC47,"難しい")+COUNTIF(AD47,"不備が多い")+COUNTIF(AE47,"大きな差がある"))</f>
        <v/>
      </c>
      <c r="AR47" s="29">
        <f>IF($C47="","",IF(AQ47&gt;=3,3,IF(AQ47&gt;=2,2,1)))</f>
        <v/>
      </c>
      <c r="AS47" s="27" t="n"/>
    </row>
    <row r="48" ht="18" customHeight="1" s="20">
      <c r="A48" s="27" t="n"/>
      <c r="B48" s="27" t="n"/>
      <c r="C48" s="27" t="n"/>
      <c r="D48" s="27" t="n"/>
      <c r="E48" s="27" t="n"/>
      <c r="F48" s="27" t="n"/>
      <c r="G48" s="27" t="n"/>
      <c r="H48" s="28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8" t="n"/>
      <c r="S48" s="27" t="n"/>
      <c r="T48" s="27" t="n"/>
      <c r="U48" s="27" t="n"/>
      <c r="V48" s="27" t="n"/>
      <c r="W48" s="28" t="n"/>
      <c r="X48" s="27" t="n"/>
      <c r="Y48" s="28" t="n"/>
      <c r="Z48" s="28" t="n"/>
      <c r="AA48" s="27" t="n"/>
      <c r="AB48" s="27" t="n"/>
      <c r="AC48" s="27" t="n"/>
      <c r="AD48" s="27" t="n"/>
      <c r="AE48" s="27" t="n"/>
      <c r="AF48" s="27" t="n"/>
      <c r="AG48" s="27" t="n"/>
      <c r="AH48" s="28" t="n"/>
      <c r="AI48" s="27" t="n"/>
      <c r="AJ48" s="27" t="n"/>
      <c r="AK48" s="28" t="n"/>
      <c r="AL48" s="28" t="n"/>
      <c r="AM48" s="29">
        <f>IF($C48="","",COUNTIF(J48:P48,"要支援")+COUNTIF(Q48,"声かけでは変化なし")+COUNTIF(Q48,"支援を拒む・抵抗する")+COUNTIF(S48,"失敗が多い・援助が必要")+COUNTIF(T48,"偏食が強い・援助が必要")+COUNTIF(U48,"手伝いが必要")+COUNTIF(V48,"手伝いが必要")+COUNTIF(AA48,"よくある"))</f>
        <v/>
      </c>
      <c r="AN48" s="29">
        <f>IF($C48="","",COUNTIF(J48:P48,"見守り")+COUNTIF(Q48,"手を添える等が必要")+COUNTIF(S48,"ときどき失敗がある")+COUNTIF(T48,"偏食や時間がかかる")+COUNTIF(U48,"声かけでできる")+COUNTIF(V48,"声かけでできる")+COUNTIF(AA48,"ときどきある"))</f>
        <v/>
      </c>
      <c r="AO48" s="29">
        <f>IF($C48="","",IF(AM48&gt;=2,3,IF(OR(AM48=1,AN48&gt;=3),2,1)))</f>
        <v/>
      </c>
      <c r="AP48" s="27" t="n"/>
      <c r="AQ48" s="29">
        <f>IF($C48="","",COUNTIF(AB48,"非常に多い")+COUNTIF(AC48,"難しい")+COUNTIF(AD48,"不備が多い")+COUNTIF(AE48,"大きな差がある"))</f>
        <v/>
      </c>
      <c r="AR48" s="29">
        <f>IF($C48="","",IF(AQ48&gt;=3,3,IF(AQ48&gt;=2,2,1)))</f>
        <v/>
      </c>
      <c r="AS48" s="27" t="n"/>
    </row>
    <row r="49" ht="18" customHeight="1" s="20">
      <c r="A49" s="27" t="n"/>
      <c r="B49" s="27" t="n"/>
      <c r="C49" s="27" t="n"/>
      <c r="D49" s="27" t="n"/>
      <c r="E49" s="27" t="n"/>
      <c r="F49" s="27" t="n"/>
      <c r="G49" s="27" t="n"/>
      <c r="H49" s="28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8" t="n"/>
      <c r="S49" s="27" t="n"/>
      <c r="T49" s="27" t="n"/>
      <c r="U49" s="27" t="n"/>
      <c r="V49" s="27" t="n"/>
      <c r="W49" s="28" t="n"/>
      <c r="X49" s="27" t="n"/>
      <c r="Y49" s="28" t="n"/>
      <c r="Z49" s="28" t="n"/>
      <c r="AA49" s="27" t="n"/>
      <c r="AB49" s="27" t="n"/>
      <c r="AC49" s="27" t="n"/>
      <c r="AD49" s="27" t="n"/>
      <c r="AE49" s="27" t="n"/>
      <c r="AF49" s="27" t="n"/>
      <c r="AG49" s="27" t="n"/>
      <c r="AH49" s="28" t="n"/>
      <c r="AI49" s="27" t="n"/>
      <c r="AJ49" s="27" t="n"/>
      <c r="AK49" s="28" t="n"/>
      <c r="AL49" s="28" t="n"/>
      <c r="AM49" s="29">
        <f>IF($C49="","",COUNTIF(J49:P49,"要支援")+COUNTIF(Q49,"声かけでは変化なし")+COUNTIF(Q49,"支援を拒む・抵抗する")+COUNTIF(S49,"失敗が多い・援助が必要")+COUNTIF(T49,"偏食が強い・援助が必要")+COUNTIF(U49,"手伝いが必要")+COUNTIF(V49,"手伝いが必要")+COUNTIF(AA49,"よくある"))</f>
        <v/>
      </c>
      <c r="AN49" s="29">
        <f>IF($C49="","",COUNTIF(J49:P49,"見守り")+COUNTIF(Q49,"手を添える等が必要")+COUNTIF(S49,"ときどき失敗がある")+COUNTIF(T49,"偏食や時間がかかる")+COUNTIF(U49,"声かけでできる")+COUNTIF(V49,"声かけでできる")+COUNTIF(AA49,"ときどきある"))</f>
        <v/>
      </c>
      <c r="AO49" s="29">
        <f>IF($C49="","",IF(AM49&gt;=2,3,IF(OR(AM49=1,AN49&gt;=3),2,1)))</f>
        <v/>
      </c>
      <c r="AP49" s="27" t="n"/>
      <c r="AQ49" s="29">
        <f>IF($C49="","",COUNTIF(AB49,"非常に多い")+COUNTIF(AC49,"難しい")+COUNTIF(AD49,"不備が多い")+COUNTIF(AE49,"大きな差がある"))</f>
        <v/>
      </c>
      <c r="AR49" s="29">
        <f>IF($C49="","",IF(AQ49&gt;=3,3,IF(AQ49&gt;=2,2,1)))</f>
        <v/>
      </c>
      <c r="AS49" s="27" t="n"/>
    </row>
    <row r="50" ht="18" customHeight="1" s="20">
      <c r="A50" s="27" t="n"/>
      <c r="B50" s="27" t="n"/>
      <c r="C50" s="27" t="n"/>
      <c r="D50" s="27" t="n"/>
      <c r="E50" s="27" t="n"/>
      <c r="F50" s="27" t="n"/>
      <c r="G50" s="27" t="n"/>
      <c r="H50" s="28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8" t="n"/>
      <c r="S50" s="27" t="n"/>
      <c r="T50" s="27" t="n"/>
      <c r="U50" s="27" t="n"/>
      <c r="V50" s="27" t="n"/>
      <c r="W50" s="28" t="n"/>
      <c r="X50" s="27" t="n"/>
      <c r="Y50" s="28" t="n"/>
      <c r="Z50" s="28" t="n"/>
      <c r="AA50" s="27" t="n"/>
      <c r="AB50" s="27" t="n"/>
      <c r="AC50" s="27" t="n"/>
      <c r="AD50" s="27" t="n"/>
      <c r="AE50" s="27" t="n"/>
      <c r="AF50" s="27" t="n"/>
      <c r="AG50" s="27" t="n"/>
      <c r="AH50" s="28" t="n"/>
      <c r="AI50" s="27" t="n"/>
      <c r="AJ50" s="27" t="n"/>
      <c r="AK50" s="28" t="n"/>
      <c r="AL50" s="28" t="n"/>
      <c r="AM50" s="29">
        <f>IF($C50="","",COUNTIF(J50:P50,"要支援")+COUNTIF(Q50,"声かけでは変化なし")+COUNTIF(Q50,"支援を拒む・抵抗する")+COUNTIF(S50,"失敗が多い・援助が必要")+COUNTIF(T50,"偏食が強い・援助が必要")+COUNTIF(U50,"手伝いが必要")+COUNTIF(V50,"手伝いが必要")+COUNTIF(AA50,"よくある"))</f>
        <v/>
      </c>
      <c r="AN50" s="29">
        <f>IF($C50="","",COUNTIF(J50:P50,"見守り")+COUNTIF(Q50,"手を添える等が必要")+COUNTIF(S50,"ときどき失敗がある")+COUNTIF(T50,"偏食や時間がかかる")+COUNTIF(U50,"声かけでできる")+COUNTIF(V50,"声かけでできる")+COUNTIF(AA50,"ときどきある"))</f>
        <v/>
      </c>
      <c r="AO50" s="29">
        <f>IF($C50="","",IF(AM50&gt;=2,3,IF(OR(AM50=1,AN50&gt;=3),2,1)))</f>
        <v/>
      </c>
      <c r="AP50" s="27" t="n"/>
      <c r="AQ50" s="29">
        <f>IF($C50="","",COUNTIF(AB50,"非常に多い")+COUNTIF(AC50,"難しい")+COUNTIF(AD50,"不備が多い")+COUNTIF(AE50,"大きな差がある"))</f>
        <v/>
      </c>
      <c r="AR50" s="29">
        <f>IF($C50="","",IF(AQ50&gt;=3,3,IF(AQ50&gt;=2,2,1)))</f>
        <v/>
      </c>
      <c r="AS50" s="27" t="n"/>
    </row>
    <row r="51" ht="18" customHeight="1" s="20">
      <c r="A51" s="27" t="n"/>
      <c r="B51" s="27" t="n"/>
      <c r="C51" s="27" t="n"/>
      <c r="D51" s="27" t="n"/>
      <c r="E51" s="27" t="n"/>
      <c r="F51" s="27" t="n"/>
      <c r="G51" s="27" t="n"/>
      <c r="H51" s="28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8" t="n"/>
      <c r="S51" s="27" t="n"/>
      <c r="T51" s="27" t="n"/>
      <c r="U51" s="27" t="n"/>
      <c r="V51" s="27" t="n"/>
      <c r="W51" s="28" t="n"/>
      <c r="X51" s="27" t="n"/>
      <c r="Y51" s="28" t="n"/>
      <c r="Z51" s="28" t="n"/>
      <c r="AA51" s="27" t="n"/>
      <c r="AB51" s="27" t="n"/>
      <c r="AC51" s="27" t="n"/>
      <c r="AD51" s="27" t="n"/>
      <c r="AE51" s="27" t="n"/>
      <c r="AF51" s="27" t="n"/>
      <c r="AG51" s="27" t="n"/>
      <c r="AH51" s="28" t="n"/>
      <c r="AI51" s="27" t="n"/>
      <c r="AJ51" s="27" t="n"/>
      <c r="AK51" s="28" t="n"/>
      <c r="AL51" s="28" t="n"/>
      <c r="AM51" s="29">
        <f>IF($C51="","",COUNTIF(J51:P51,"要支援")+COUNTIF(Q51,"声かけでは変化なし")+COUNTIF(Q51,"支援を拒む・抵抗する")+COUNTIF(S51,"失敗が多い・援助が必要")+COUNTIF(T51,"偏食が強い・援助が必要")+COUNTIF(U51,"手伝いが必要")+COUNTIF(V51,"手伝いが必要")+COUNTIF(AA51,"よくある"))</f>
        <v/>
      </c>
      <c r="AN51" s="29">
        <f>IF($C51="","",COUNTIF(J51:P51,"見守り")+COUNTIF(Q51,"手を添える等が必要")+COUNTIF(S51,"ときどき失敗がある")+COUNTIF(T51,"偏食や時間がかかる")+COUNTIF(U51,"声かけでできる")+COUNTIF(V51,"声かけでできる")+COUNTIF(AA51,"ときどきある"))</f>
        <v/>
      </c>
      <c r="AO51" s="29">
        <f>IF($C51="","",IF(AM51&gt;=2,3,IF(OR(AM51=1,AN51&gt;=3),2,1)))</f>
        <v/>
      </c>
      <c r="AP51" s="27" t="n"/>
      <c r="AQ51" s="29">
        <f>IF($C51="","",COUNTIF(AB51,"非常に多い")+COUNTIF(AC51,"難しい")+COUNTIF(AD51,"不備が多い")+COUNTIF(AE51,"大きな差がある"))</f>
        <v/>
      </c>
      <c r="AR51" s="29">
        <f>IF($C51="","",IF(AQ51&gt;=3,3,IF(AQ51&gt;=2,2,1)))</f>
        <v/>
      </c>
      <c r="AS51" s="27" t="n"/>
    </row>
    <row r="52" ht="18" customHeight="1" s="20">
      <c r="A52" s="27" t="n"/>
      <c r="B52" s="27" t="n"/>
      <c r="C52" s="27" t="n"/>
      <c r="D52" s="27" t="n"/>
      <c r="E52" s="27" t="n"/>
      <c r="F52" s="27" t="n"/>
      <c r="G52" s="27" t="n"/>
      <c r="H52" s="28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8" t="n"/>
      <c r="S52" s="27" t="n"/>
      <c r="T52" s="27" t="n"/>
      <c r="U52" s="27" t="n"/>
      <c r="V52" s="27" t="n"/>
      <c r="W52" s="28" t="n"/>
      <c r="X52" s="27" t="n"/>
      <c r="Y52" s="28" t="n"/>
      <c r="Z52" s="28" t="n"/>
      <c r="AA52" s="27" t="n"/>
      <c r="AB52" s="27" t="n"/>
      <c r="AC52" s="27" t="n"/>
      <c r="AD52" s="27" t="n"/>
      <c r="AE52" s="27" t="n"/>
      <c r="AF52" s="27" t="n"/>
      <c r="AG52" s="27" t="n"/>
      <c r="AH52" s="28" t="n"/>
      <c r="AI52" s="27" t="n"/>
      <c r="AJ52" s="27" t="n"/>
      <c r="AK52" s="28" t="n"/>
      <c r="AL52" s="28" t="n"/>
      <c r="AM52" s="29">
        <f>IF($C52="","",COUNTIF(J52:P52,"要支援")+COUNTIF(Q52,"声かけでは変化なし")+COUNTIF(Q52,"支援を拒む・抵抗する")+COUNTIF(S52,"失敗が多い・援助が必要")+COUNTIF(T52,"偏食が強い・援助が必要")+COUNTIF(U52,"手伝いが必要")+COUNTIF(V52,"手伝いが必要")+COUNTIF(AA52,"よくある"))</f>
        <v/>
      </c>
      <c r="AN52" s="29">
        <f>IF($C52="","",COUNTIF(J52:P52,"見守り")+COUNTIF(Q52,"手を添える等が必要")+COUNTIF(S52,"ときどき失敗がある")+COUNTIF(T52,"偏食や時間がかかる")+COUNTIF(U52,"声かけでできる")+COUNTIF(V52,"声かけでできる")+COUNTIF(AA52,"ときどきある"))</f>
        <v/>
      </c>
      <c r="AO52" s="29">
        <f>IF($C52="","",IF(AM52&gt;=2,3,IF(OR(AM52=1,AN52&gt;=3),2,1)))</f>
        <v/>
      </c>
      <c r="AP52" s="27" t="n"/>
      <c r="AQ52" s="29">
        <f>IF($C52="","",COUNTIF(AB52,"非常に多い")+COUNTIF(AC52,"難しい")+COUNTIF(AD52,"不備が多い")+COUNTIF(AE52,"大きな差がある"))</f>
        <v/>
      </c>
      <c r="AR52" s="29">
        <f>IF($C52="","",IF(AQ52&gt;=3,3,IF(AQ52&gt;=2,2,1)))</f>
        <v/>
      </c>
      <c r="AS52" s="27" t="n"/>
    </row>
    <row r="53" ht="18" customHeight="1" s="20">
      <c r="A53" s="27" t="n"/>
      <c r="B53" s="27" t="n"/>
      <c r="C53" s="27" t="n"/>
      <c r="D53" s="27" t="n"/>
      <c r="E53" s="27" t="n"/>
      <c r="F53" s="27" t="n"/>
      <c r="G53" s="27" t="n"/>
      <c r="H53" s="28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8" t="n"/>
      <c r="S53" s="27" t="n"/>
      <c r="T53" s="27" t="n"/>
      <c r="U53" s="27" t="n"/>
      <c r="V53" s="27" t="n"/>
      <c r="W53" s="28" t="n"/>
      <c r="X53" s="27" t="n"/>
      <c r="Y53" s="28" t="n"/>
      <c r="Z53" s="28" t="n"/>
      <c r="AA53" s="27" t="n"/>
      <c r="AB53" s="27" t="n"/>
      <c r="AC53" s="27" t="n"/>
      <c r="AD53" s="27" t="n"/>
      <c r="AE53" s="27" t="n"/>
      <c r="AF53" s="27" t="n"/>
      <c r="AG53" s="27" t="n"/>
      <c r="AH53" s="28" t="n"/>
      <c r="AI53" s="27" t="n"/>
      <c r="AJ53" s="27" t="n"/>
      <c r="AK53" s="28" t="n"/>
      <c r="AL53" s="28" t="n"/>
      <c r="AM53" s="29">
        <f>IF($C53="","",COUNTIF(J53:P53,"要支援")+COUNTIF(Q53,"声かけでは変化なし")+COUNTIF(Q53,"支援を拒む・抵抗する")+COUNTIF(S53,"失敗が多い・援助が必要")+COUNTIF(T53,"偏食が強い・援助が必要")+COUNTIF(U53,"手伝いが必要")+COUNTIF(V53,"手伝いが必要")+COUNTIF(AA53,"よくある"))</f>
        <v/>
      </c>
      <c r="AN53" s="29">
        <f>IF($C53="","",COUNTIF(J53:P53,"見守り")+COUNTIF(Q53,"手を添える等が必要")+COUNTIF(S53,"ときどき失敗がある")+COUNTIF(T53,"偏食や時間がかかる")+COUNTIF(U53,"声かけでできる")+COUNTIF(V53,"声かけでできる")+COUNTIF(AA53,"ときどきある"))</f>
        <v/>
      </c>
      <c r="AO53" s="29">
        <f>IF($C53="","",IF(AM53&gt;=2,3,IF(OR(AM53=1,AN53&gt;=3),2,1)))</f>
        <v/>
      </c>
      <c r="AP53" s="27" t="n"/>
      <c r="AQ53" s="29">
        <f>IF($C53="","",COUNTIF(AB53,"非常に多い")+COUNTIF(AC53,"難しい")+COUNTIF(AD53,"不備が多い")+COUNTIF(AE53,"大きな差がある"))</f>
        <v/>
      </c>
      <c r="AR53" s="29">
        <f>IF($C53="","",IF(AQ53&gt;=3,3,IF(AQ53&gt;=2,2,1)))</f>
        <v/>
      </c>
      <c r="AS53" s="27" t="n"/>
    </row>
    <row r="54" ht="18" customHeight="1" s="20">
      <c r="A54" s="27" t="n"/>
      <c r="B54" s="27" t="n"/>
      <c r="C54" s="27" t="n"/>
      <c r="D54" s="27" t="n"/>
      <c r="E54" s="27" t="n"/>
      <c r="F54" s="27" t="n"/>
      <c r="G54" s="27" t="n"/>
      <c r="H54" s="28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8" t="n"/>
      <c r="S54" s="27" t="n"/>
      <c r="T54" s="27" t="n"/>
      <c r="U54" s="27" t="n"/>
      <c r="V54" s="27" t="n"/>
      <c r="W54" s="28" t="n"/>
      <c r="X54" s="27" t="n"/>
      <c r="Y54" s="28" t="n"/>
      <c r="Z54" s="28" t="n"/>
      <c r="AA54" s="27" t="n"/>
      <c r="AB54" s="27" t="n"/>
      <c r="AC54" s="27" t="n"/>
      <c r="AD54" s="27" t="n"/>
      <c r="AE54" s="27" t="n"/>
      <c r="AF54" s="27" t="n"/>
      <c r="AG54" s="27" t="n"/>
      <c r="AH54" s="28" t="n"/>
      <c r="AI54" s="27" t="n"/>
      <c r="AJ54" s="27" t="n"/>
      <c r="AK54" s="28" t="n"/>
      <c r="AL54" s="28" t="n"/>
      <c r="AM54" s="29">
        <f>IF($C54="","",COUNTIF(J54:P54,"要支援")+COUNTIF(Q54,"声かけでは変化なし")+COUNTIF(Q54,"支援を拒む・抵抗する")+COUNTIF(S54,"失敗が多い・援助が必要")+COUNTIF(T54,"偏食が強い・援助が必要")+COUNTIF(U54,"手伝いが必要")+COUNTIF(V54,"手伝いが必要")+COUNTIF(AA54,"よくある"))</f>
        <v/>
      </c>
      <c r="AN54" s="29">
        <f>IF($C54="","",COUNTIF(J54:P54,"見守り")+COUNTIF(Q54,"手を添える等が必要")+COUNTIF(S54,"ときどき失敗がある")+COUNTIF(T54,"偏食や時間がかかる")+COUNTIF(U54,"声かけでできる")+COUNTIF(V54,"声かけでできる")+COUNTIF(AA54,"ときどきある"))</f>
        <v/>
      </c>
      <c r="AO54" s="29">
        <f>IF($C54="","",IF(AM54&gt;=2,3,IF(OR(AM54=1,AN54&gt;=3),2,1)))</f>
        <v/>
      </c>
      <c r="AP54" s="27" t="n"/>
      <c r="AQ54" s="29">
        <f>IF($C54="","",COUNTIF(AB54,"非常に多い")+COUNTIF(AC54,"難しい")+COUNTIF(AD54,"不備が多い")+COUNTIF(AE54,"大きな差がある"))</f>
        <v/>
      </c>
      <c r="AR54" s="29">
        <f>IF($C54="","",IF(AQ54&gt;=3,3,IF(AQ54&gt;=2,2,1)))</f>
        <v/>
      </c>
      <c r="AS54" s="27" t="n"/>
    </row>
    <row r="55" ht="18" customHeight="1" s="20">
      <c r="A55" s="27" t="n"/>
      <c r="B55" s="27" t="n"/>
      <c r="C55" s="27" t="n"/>
      <c r="D55" s="27" t="n"/>
      <c r="E55" s="27" t="n"/>
      <c r="F55" s="27" t="n"/>
      <c r="G55" s="27" t="n"/>
      <c r="H55" s="28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8" t="n"/>
      <c r="S55" s="27" t="n"/>
      <c r="T55" s="27" t="n"/>
      <c r="U55" s="27" t="n"/>
      <c r="V55" s="27" t="n"/>
      <c r="W55" s="28" t="n"/>
      <c r="X55" s="27" t="n"/>
      <c r="Y55" s="28" t="n"/>
      <c r="Z55" s="28" t="n"/>
      <c r="AA55" s="27" t="n"/>
      <c r="AB55" s="27" t="n"/>
      <c r="AC55" s="27" t="n"/>
      <c r="AD55" s="27" t="n"/>
      <c r="AE55" s="27" t="n"/>
      <c r="AF55" s="27" t="n"/>
      <c r="AG55" s="27" t="n"/>
      <c r="AH55" s="28" t="n"/>
      <c r="AI55" s="27" t="n"/>
      <c r="AJ55" s="27" t="n"/>
      <c r="AK55" s="28" t="n"/>
      <c r="AL55" s="28" t="n"/>
      <c r="AM55" s="29">
        <f>IF($C55="","",COUNTIF(J55:P55,"要支援")+COUNTIF(Q55,"声かけでは変化なし")+COUNTIF(Q55,"支援を拒む・抵抗する")+COUNTIF(S55,"失敗が多い・援助が必要")+COUNTIF(T55,"偏食が強い・援助が必要")+COUNTIF(U55,"手伝いが必要")+COUNTIF(V55,"手伝いが必要")+COUNTIF(AA55,"よくある"))</f>
        <v/>
      </c>
      <c r="AN55" s="29">
        <f>IF($C55="","",COUNTIF(J55:P55,"見守り")+COUNTIF(Q55,"手を添える等が必要")+COUNTIF(S55,"ときどき失敗がある")+COUNTIF(T55,"偏食や時間がかかる")+COUNTIF(U55,"声かけでできる")+COUNTIF(V55,"声かけでできる")+COUNTIF(AA55,"ときどきある"))</f>
        <v/>
      </c>
      <c r="AO55" s="29">
        <f>IF($C55="","",IF(AM55&gt;=2,3,IF(OR(AM55=1,AN55&gt;=3),2,1)))</f>
        <v/>
      </c>
      <c r="AP55" s="27" t="n"/>
      <c r="AQ55" s="29">
        <f>IF($C55="","",COUNTIF(AB55,"非常に多い")+COUNTIF(AC55,"難しい")+COUNTIF(AD55,"不備が多い")+COUNTIF(AE55,"大きな差がある"))</f>
        <v/>
      </c>
      <c r="AR55" s="29">
        <f>IF($C55="","",IF(AQ55&gt;=3,3,IF(AQ55&gt;=2,2,1)))</f>
        <v/>
      </c>
      <c r="AS55" s="27" t="n"/>
    </row>
    <row r="56" ht="18" customHeight="1" s="20">
      <c r="A56" s="27" t="n"/>
      <c r="B56" s="27" t="n"/>
      <c r="C56" s="27" t="n"/>
      <c r="D56" s="27" t="n"/>
      <c r="E56" s="27" t="n"/>
      <c r="F56" s="27" t="n"/>
      <c r="G56" s="27" t="n"/>
      <c r="H56" s="28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8" t="n"/>
      <c r="S56" s="27" t="n"/>
      <c r="T56" s="27" t="n"/>
      <c r="U56" s="27" t="n"/>
      <c r="V56" s="27" t="n"/>
      <c r="W56" s="28" t="n"/>
      <c r="X56" s="27" t="n"/>
      <c r="Y56" s="28" t="n"/>
      <c r="Z56" s="28" t="n"/>
      <c r="AA56" s="27" t="n"/>
      <c r="AB56" s="27" t="n"/>
      <c r="AC56" s="27" t="n"/>
      <c r="AD56" s="27" t="n"/>
      <c r="AE56" s="27" t="n"/>
      <c r="AF56" s="27" t="n"/>
      <c r="AG56" s="27" t="n"/>
      <c r="AH56" s="28" t="n"/>
      <c r="AI56" s="27" t="n"/>
      <c r="AJ56" s="27" t="n"/>
      <c r="AK56" s="28" t="n"/>
      <c r="AL56" s="28" t="n"/>
      <c r="AM56" s="29">
        <f>IF($C56="","",COUNTIF(J56:P56,"要支援")+COUNTIF(Q56,"声かけでは変化なし")+COUNTIF(Q56,"支援を拒む・抵抗する")+COUNTIF(S56,"失敗が多い・援助が必要")+COUNTIF(T56,"偏食が強い・援助が必要")+COUNTIF(U56,"手伝いが必要")+COUNTIF(V56,"手伝いが必要")+COUNTIF(AA56,"よくある"))</f>
        <v/>
      </c>
      <c r="AN56" s="29">
        <f>IF($C56="","",COUNTIF(J56:P56,"見守り")+COUNTIF(Q56,"手を添える等が必要")+COUNTIF(S56,"ときどき失敗がある")+COUNTIF(T56,"偏食や時間がかかる")+COUNTIF(U56,"声かけでできる")+COUNTIF(V56,"声かけでできる")+COUNTIF(AA56,"ときどきある"))</f>
        <v/>
      </c>
      <c r="AO56" s="29">
        <f>IF($C56="","",IF(AM56&gt;=2,3,IF(OR(AM56=1,AN56&gt;=3),2,1)))</f>
        <v/>
      </c>
      <c r="AP56" s="27" t="n"/>
      <c r="AQ56" s="29">
        <f>IF($C56="","",COUNTIF(AB56,"非常に多い")+COUNTIF(AC56,"難しい")+COUNTIF(AD56,"不備が多い")+COUNTIF(AE56,"大きな差がある"))</f>
        <v/>
      </c>
      <c r="AR56" s="29">
        <f>IF($C56="","",IF(AQ56&gt;=3,3,IF(AQ56&gt;=2,2,1)))</f>
        <v/>
      </c>
      <c r="AS56" s="27" t="n"/>
    </row>
    <row r="57" ht="18" customHeight="1" s="20">
      <c r="A57" s="27" t="n"/>
      <c r="B57" s="27" t="n"/>
      <c r="C57" s="27" t="n"/>
      <c r="D57" s="27" t="n"/>
      <c r="E57" s="27" t="n"/>
      <c r="F57" s="27" t="n"/>
      <c r="G57" s="27" t="n"/>
      <c r="H57" s="28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8" t="n"/>
      <c r="S57" s="27" t="n"/>
      <c r="T57" s="27" t="n"/>
      <c r="U57" s="27" t="n"/>
      <c r="V57" s="27" t="n"/>
      <c r="W57" s="28" t="n"/>
      <c r="X57" s="27" t="n"/>
      <c r="Y57" s="28" t="n"/>
      <c r="Z57" s="28" t="n"/>
      <c r="AA57" s="27" t="n"/>
      <c r="AB57" s="27" t="n"/>
      <c r="AC57" s="27" t="n"/>
      <c r="AD57" s="27" t="n"/>
      <c r="AE57" s="27" t="n"/>
      <c r="AF57" s="27" t="n"/>
      <c r="AG57" s="27" t="n"/>
      <c r="AH57" s="28" t="n"/>
      <c r="AI57" s="27" t="n"/>
      <c r="AJ57" s="27" t="n"/>
      <c r="AK57" s="28" t="n"/>
      <c r="AL57" s="28" t="n"/>
      <c r="AM57" s="29">
        <f>IF($C57="","",COUNTIF(J57:P57,"要支援")+COUNTIF(Q57,"声かけでは変化なし")+COUNTIF(Q57,"支援を拒む・抵抗する")+COUNTIF(S57,"失敗が多い・援助が必要")+COUNTIF(T57,"偏食が強い・援助が必要")+COUNTIF(U57,"手伝いが必要")+COUNTIF(V57,"手伝いが必要")+COUNTIF(AA57,"よくある"))</f>
        <v/>
      </c>
      <c r="AN57" s="29">
        <f>IF($C57="","",COUNTIF(J57:P57,"見守り")+COUNTIF(Q57,"手を添える等が必要")+COUNTIF(S57,"ときどき失敗がある")+COUNTIF(T57,"偏食や時間がかかる")+COUNTIF(U57,"声かけでできる")+COUNTIF(V57,"声かけでできる")+COUNTIF(AA57,"ときどきある"))</f>
        <v/>
      </c>
      <c r="AO57" s="29">
        <f>IF($C57="","",IF(AM57&gt;=2,3,IF(OR(AM57=1,AN57&gt;=3),2,1)))</f>
        <v/>
      </c>
      <c r="AP57" s="27" t="n"/>
      <c r="AQ57" s="29">
        <f>IF($C57="","",COUNTIF(AB57,"非常に多い")+COUNTIF(AC57,"難しい")+COUNTIF(AD57,"不備が多い")+COUNTIF(AE57,"大きな差がある"))</f>
        <v/>
      </c>
      <c r="AR57" s="29">
        <f>IF($C57="","",IF(AQ57&gt;=3,3,IF(AQ57&gt;=2,2,1)))</f>
        <v/>
      </c>
      <c r="AS57" s="27" t="n"/>
    </row>
    <row r="58" ht="18" customHeight="1" s="20">
      <c r="A58" s="27" t="n"/>
      <c r="B58" s="27" t="n"/>
      <c r="C58" s="27" t="n"/>
      <c r="D58" s="27" t="n"/>
      <c r="E58" s="27" t="n"/>
      <c r="F58" s="27" t="n"/>
      <c r="G58" s="27" t="n"/>
      <c r="H58" s="28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8" t="n"/>
      <c r="S58" s="27" t="n"/>
      <c r="T58" s="27" t="n"/>
      <c r="U58" s="27" t="n"/>
      <c r="V58" s="27" t="n"/>
      <c r="W58" s="28" t="n"/>
      <c r="X58" s="27" t="n"/>
      <c r="Y58" s="28" t="n"/>
      <c r="Z58" s="28" t="n"/>
      <c r="AA58" s="27" t="n"/>
      <c r="AB58" s="27" t="n"/>
      <c r="AC58" s="27" t="n"/>
      <c r="AD58" s="27" t="n"/>
      <c r="AE58" s="27" t="n"/>
      <c r="AF58" s="27" t="n"/>
      <c r="AG58" s="27" t="n"/>
      <c r="AH58" s="28" t="n"/>
      <c r="AI58" s="27" t="n"/>
      <c r="AJ58" s="27" t="n"/>
      <c r="AK58" s="28" t="n"/>
      <c r="AL58" s="28" t="n"/>
      <c r="AM58" s="29">
        <f>IF($C58="","",COUNTIF(J58:P58,"要支援")+COUNTIF(Q58,"声かけでは変化なし")+COUNTIF(Q58,"支援を拒む・抵抗する")+COUNTIF(S58,"失敗が多い・援助が必要")+COUNTIF(T58,"偏食が強い・援助が必要")+COUNTIF(U58,"手伝いが必要")+COUNTIF(V58,"手伝いが必要")+COUNTIF(AA58,"よくある"))</f>
        <v/>
      </c>
      <c r="AN58" s="29">
        <f>IF($C58="","",COUNTIF(J58:P58,"見守り")+COUNTIF(Q58,"手を添える等が必要")+COUNTIF(S58,"ときどき失敗がある")+COUNTIF(T58,"偏食や時間がかかる")+COUNTIF(U58,"声かけでできる")+COUNTIF(V58,"声かけでできる")+COUNTIF(AA58,"ときどきある"))</f>
        <v/>
      </c>
      <c r="AO58" s="29">
        <f>IF($C58="","",IF(AM58&gt;=2,3,IF(OR(AM58=1,AN58&gt;=3),2,1)))</f>
        <v/>
      </c>
      <c r="AP58" s="27" t="n"/>
      <c r="AQ58" s="29">
        <f>IF($C58="","",COUNTIF(AB58,"非常に多い")+COUNTIF(AC58,"難しい")+COUNTIF(AD58,"不備が多い")+COUNTIF(AE58,"大きな差がある"))</f>
        <v/>
      </c>
      <c r="AR58" s="29">
        <f>IF($C58="","",IF(AQ58&gt;=3,3,IF(AQ58&gt;=2,2,1)))</f>
        <v/>
      </c>
      <c r="AS58" s="27" t="n"/>
    </row>
    <row r="59" ht="18" customHeight="1" s="20">
      <c r="A59" s="27" t="n"/>
      <c r="B59" s="27" t="n"/>
      <c r="C59" s="27" t="n"/>
      <c r="D59" s="27" t="n"/>
      <c r="E59" s="27" t="n"/>
      <c r="F59" s="27" t="n"/>
      <c r="G59" s="27" t="n"/>
      <c r="H59" s="28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8" t="n"/>
      <c r="S59" s="27" t="n"/>
      <c r="T59" s="27" t="n"/>
      <c r="U59" s="27" t="n"/>
      <c r="V59" s="27" t="n"/>
      <c r="W59" s="28" t="n"/>
      <c r="X59" s="27" t="n"/>
      <c r="Y59" s="28" t="n"/>
      <c r="Z59" s="28" t="n"/>
      <c r="AA59" s="27" t="n"/>
      <c r="AB59" s="27" t="n"/>
      <c r="AC59" s="27" t="n"/>
      <c r="AD59" s="27" t="n"/>
      <c r="AE59" s="27" t="n"/>
      <c r="AF59" s="27" t="n"/>
      <c r="AG59" s="27" t="n"/>
      <c r="AH59" s="28" t="n"/>
      <c r="AI59" s="27" t="n"/>
      <c r="AJ59" s="27" t="n"/>
      <c r="AK59" s="28" t="n"/>
      <c r="AL59" s="28" t="n"/>
      <c r="AM59" s="29">
        <f>IF($C59="","",COUNTIF(J59:P59,"要支援")+COUNTIF(Q59,"声かけでは変化なし")+COUNTIF(Q59,"支援を拒む・抵抗する")+COUNTIF(S59,"失敗が多い・援助が必要")+COUNTIF(T59,"偏食が強い・援助が必要")+COUNTIF(U59,"手伝いが必要")+COUNTIF(V59,"手伝いが必要")+COUNTIF(AA59,"よくある"))</f>
        <v/>
      </c>
      <c r="AN59" s="29">
        <f>IF($C59="","",COUNTIF(J59:P59,"見守り")+COUNTIF(Q59,"手を添える等が必要")+COUNTIF(S59,"ときどき失敗がある")+COUNTIF(T59,"偏食や時間がかかる")+COUNTIF(U59,"声かけでできる")+COUNTIF(V59,"声かけでできる")+COUNTIF(AA59,"ときどきある"))</f>
        <v/>
      </c>
      <c r="AO59" s="29">
        <f>IF($C59="","",IF(AM59&gt;=2,3,IF(OR(AM59=1,AN59&gt;=3),2,1)))</f>
        <v/>
      </c>
      <c r="AP59" s="27" t="n"/>
      <c r="AQ59" s="29">
        <f>IF($C59="","",COUNTIF(AB59,"非常に多い")+COUNTIF(AC59,"難しい")+COUNTIF(AD59,"不備が多い")+COUNTIF(AE59,"大きな差がある"))</f>
        <v/>
      </c>
      <c r="AR59" s="29">
        <f>IF($C59="","",IF(AQ59&gt;=3,3,IF(AQ59&gt;=2,2,1)))</f>
        <v/>
      </c>
      <c r="AS59" s="27" t="n"/>
    </row>
    <row r="60" ht="18" customHeight="1" s="20">
      <c r="A60" s="27" t="n"/>
      <c r="B60" s="27" t="n"/>
      <c r="C60" s="27" t="n"/>
      <c r="D60" s="27" t="n"/>
      <c r="E60" s="27" t="n"/>
      <c r="F60" s="27" t="n"/>
      <c r="G60" s="27" t="n"/>
      <c r="H60" s="28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8" t="n"/>
      <c r="S60" s="27" t="n"/>
      <c r="T60" s="27" t="n"/>
      <c r="U60" s="27" t="n"/>
      <c r="V60" s="27" t="n"/>
      <c r="W60" s="28" t="n"/>
      <c r="X60" s="27" t="n"/>
      <c r="Y60" s="28" t="n"/>
      <c r="Z60" s="28" t="n"/>
      <c r="AA60" s="27" t="n"/>
      <c r="AB60" s="27" t="n"/>
      <c r="AC60" s="27" t="n"/>
      <c r="AD60" s="27" t="n"/>
      <c r="AE60" s="27" t="n"/>
      <c r="AF60" s="27" t="n"/>
      <c r="AG60" s="27" t="n"/>
      <c r="AH60" s="28" t="n"/>
      <c r="AI60" s="27" t="n"/>
      <c r="AJ60" s="27" t="n"/>
      <c r="AK60" s="28" t="n"/>
      <c r="AL60" s="28" t="n"/>
      <c r="AM60" s="29">
        <f>IF($C60="","",COUNTIF(J60:P60,"要支援")+COUNTIF(Q60,"声かけでは変化なし")+COUNTIF(Q60,"支援を拒む・抵抗する")+COUNTIF(S60,"失敗が多い・援助が必要")+COUNTIF(T60,"偏食が強い・援助が必要")+COUNTIF(U60,"手伝いが必要")+COUNTIF(V60,"手伝いが必要")+COUNTIF(AA60,"よくある"))</f>
        <v/>
      </c>
      <c r="AN60" s="29">
        <f>IF($C60="","",COUNTIF(J60:P60,"見守り")+COUNTIF(Q60,"手を添える等が必要")+COUNTIF(S60,"ときどき失敗がある")+COUNTIF(T60,"偏食や時間がかかる")+COUNTIF(U60,"声かけでできる")+COUNTIF(V60,"声かけでできる")+COUNTIF(AA60,"ときどきある"))</f>
        <v/>
      </c>
      <c r="AO60" s="29">
        <f>IF($C60="","",IF(AM60&gt;=2,3,IF(OR(AM60=1,AN60&gt;=3),2,1)))</f>
        <v/>
      </c>
      <c r="AP60" s="27" t="n"/>
      <c r="AQ60" s="29">
        <f>IF($C60="","",COUNTIF(AB60,"非常に多い")+COUNTIF(AC60,"難しい")+COUNTIF(AD60,"不備が多い")+COUNTIF(AE60,"大きな差がある"))</f>
        <v/>
      </c>
      <c r="AR60" s="29">
        <f>IF($C60="","",IF(AQ60&gt;=3,3,IF(AQ60&gt;=2,2,1)))</f>
        <v/>
      </c>
      <c r="AS60" s="27" t="n"/>
    </row>
    <row r="61" ht="18" customHeight="1" s="20">
      <c r="A61" s="27" t="n"/>
      <c r="B61" s="27" t="n"/>
      <c r="C61" s="27" t="n"/>
      <c r="D61" s="27" t="n"/>
      <c r="E61" s="27" t="n"/>
      <c r="F61" s="27" t="n"/>
      <c r="G61" s="27" t="n"/>
      <c r="H61" s="28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8" t="n"/>
      <c r="S61" s="27" t="n"/>
      <c r="T61" s="27" t="n"/>
      <c r="U61" s="27" t="n"/>
      <c r="V61" s="27" t="n"/>
      <c r="W61" s="28" t="n"/>
      <c r="X61" s="27" t="n"/>
      <c r="Y61" s="28" t="n"/>
      <c r="Z61" s="28" t="n"/>
      <c r="AA61" s="27" t="n"/>
      <c r="AB61" s="27" t="n"/>
      <c r="AC61" s="27" t="n"/>
      <c r="AD61" s="27" t="n"/>
      <c r="AE61" s="27" t="n"/>
      <c r="AF61" s="27" t="n"/>
      <c r="AG61" s="27" t="n"/>
      <c r="AH61" s="28" t="n"/>
      <c r="AI61" s="27" t="n"/>
      <c r="AJ61" s="27" t="n"/>
      <c r="AK61" s="28" t="n"/>
      <c r="AL61" s="28" t="n"/>
      <c r="AM61" s="29">
        <f>IF($C61="","",COUNTIF(J61:P61,"要支援")+COUNTIF(Q61,"声かけでは変化なし")+COUNTIF(Q61,"支援を拒む・抵抗する")+COUNTIF(S61,"失敗が多い・援助が必要")+COUNTIF(T61,"偏食が強い・援助が必要")+COUNTIF(U61,"手伝いが必要")+COUNTIF(V61,"手伝いが必要")+COUNTIF(AA61,"よくある"))</f>
        <v/>
      </c>
      <c r="AN61" s="29">
        <f>IF($C61="","",COUNTIF(J61:P61,"見守り")+COUNTIF(Q61,"手を添える等が必要")+COUNTIF(S61,"ときどき失敗がある")+COUNTIF(T61,"偏食や時間がかかる")+COUNTIF(U61,"声かけでできる")+COUNTIF(V61,"声かけでできる")+COUNTIF(AA61,"ときどきある"))</f>
        <v/>
      </c>
      <c r="AO61" s="29">
        <f>IF($C61="","",IF(AM61&gt;=2,3,IF(OR(AM61=1,AN61&gt;=3),2,1)))</f>
        <v/>
      </c>
      <c r="AP61" s="27" t="n"/>
      <c r="AQ61" s="29">
        <f>IF($C61="","",COUNTIF(AB61,"非常に多い")+COUNTIF(AC61,"難しい")+COUNTIF(AD61,"不備が多い")+COUNTIF(AE61,"大きな差がある"))</f>
        <v/>
      </c>
      <c r="AR61" s="29">
        <f>IF($C61="","",IF(AQ61&gt;=3,3,IF(AQ61&gt;=2,2,1)))</f>
        <v/>
      </c>
      <c r="AS61" s="27" t="n"/>
    </row>
    <row r="62" ht="18" customHeight="1" s="20">
      <c r="A62" s="27" t="n"/>
      <c r="B62" s="27" t="n"/>
      <c r="C62" s="27" t="n"/>
      <c r="D62" s="27" t="n"/>
      <c r="E62" s="27" t="n"/>
      <c r="F62" s="27" t="n"/>
      <c r="G62" s="27" t="n"/>
      <c r="H62" s="28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8" t="n"/>
      <c r="S62" s="27" t="n"/>
      <c r="T62" s="27" t="n"/>
      <c r="U62" s="27" t="n"/>
      <c r="V62" s="27" t="n"/>
      <c r="W62" s="28" t="n"/>
      <c r="X62" s="27" t="n"/>
      <c r="Y62" s="28" t="n"/>
      <c r="Z62" s="28" t="n"/>
      <c r="AA62" s="27" t="n"/>
      <c r="AB62" s="27" t="n"/>
      <c r="AC62" s="27" t="n"/>
      <c r="AD62" s="27" t="n"/>
      <c r="AE62" s="27" t="n"/>
      <c r="AF62" s="27" t="n"/>
      <c r="AG62" s="27" t="n"/>
      <c r="AH62" s="28" t="n"/>
      <c r="AI62" s="27" t="n"/>
      <c r="AJ62" s="27" t="n"/>
      <c r="AK62" s="28" t="n"/>
      <c r="AL62" s="28" t="n"/>
      <c r="AM62" s="29">
        <f>IF($C62="","",COUNTIF(J62:P62,"要支援")+COUNTIF(Q62,"声かけでは変化なし")+COUNTIF(Q62,"支援を拒む・抵抗する")+COUNTIF(S62,"失敗が多い・援助が必要")+COUNTIF(T62,"偏食が強い・援助が必要")+COUNTIF(U62,"手伝いが必要")+COUNTIF(V62,"手伝いが必要")+COUNTIF(AA62,"よくある"))</f>
        <v/>
      </c>
      <c r="AN62" s="29">
        <f>IF($C62="","",COUNTIF(J62:P62,"見守り")+COUNTIF(Q62,"手を添える等が必要")+COUNTIF(S62,"ときどき失敗がある")+COUNTIF(T62,"偏食や時間がかかる")+COUNTIF(U62,"声かけでできる")+COUNTIF(V62,"声かけでできる")+COUNTIF(AA62,"ときどきある"))</f>
        <v/>
      </c>
      <c r="AO62" s="29">
        <f>IF($C62="","",IF(AM62&gt;=2,3,IF(OR(AM62=1,AN62&gt;=3),2,1)))</f>
        <v/>
      </c>
      <c r="AP62" s="27" t="n"/>
      <c r="AQ62" s="29">
        <f>IF($C62="","",COUNTIF(AB62,"非常に多い")+COUNTIF(AC62,"難しい")+COUNTIF(AD62,"不備が多い")+COUNTIF(AE62,"大きな差がある"))</f>
        <v/>
      </c>
      <c r="AR62" s="29">
        <f>IF($C62="","",IF(AQ62&gt;=3,3,IF(AQ62&gt;=2,2,1)))</f>
        <v/>
      </c>
      <c r="AS62" s="27" t="n"/>
    </row>
    <row r="63" ht="18" customHeight="1" s="20">
      <c r="A63" s="27" t="n"/>
      <c r="B63" s="27" t="n"/>
      <c r="C63" s="27" t="n"/>
      <c r="D63" s="27" t="n"/>
      <c r="E63" s="27" t="n"/>
      <c r="F63" s="27" t="n"/>
      <c r="G63" s="27" t="n"/>
      <c r="H63" s="28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8" t="n"/>
      <c r="S63" s="27" t="n"/>
      <c r="T63" s="27" t="n"/>
      <c r="U63" s="27" t="n"/>
      <c r="V63" s="27" t="n"/>
      <c r="W63" s="28" t="n"/>
      <c r="X63" s="27" t="n"/>
      <c r="Y63" s="28" t="n"/>
      <c r="Z63" s="28" t="n"/>
      <c r="AA63" s="27" t="n"/>
      <c r="AB63" s="27" t="n"/>
      <c r="AC63" s="27" t="n"/>
      <c r="AD63" s="27" t="n"/>
      <c r="AE63" s="27" t="n"/>
      <c r="AF63" s="27" t="n"/>
      <c r="AG63" s="27" t="n"/>
      <c r="AH63" s="28" t="n"/>
      <c r="AI63" s="27" t="n"/>
      <c r="AJ63" s="27" t="n"/>
      <c r="AK63" s="28" t="n"/>
      <c r="AL63" s="28" t="n"/>
      <c r="AM63" s="29">
        <f>IF($C63="","",COUNTIF(J63:P63,"要支援")+COUNTIF(Q63,"声かけでは変化なし")+COUNTIF(Q63,"支援を拒む・抵抗する")+COUNTIF(S63,"失敗が多い・援助が必要")+COUNTIF(T63,"偏食が強い・援助が必要")+COUNTIF(U63,"手伝いが必要")+COUNTIF(V63,"手伝いが必要")+COUNTIF(AA63,"よくある"))</f>
        <v/>
      </c>
      <c r="AN63" s="29">
        <f>IF($C63="","",COUNTIF(J63:P63,"見守り")+COUNTIF(Q63,"手を添える等が必要")+COUNTIF(S63,"ときどき失敗がある")+COUNTIF(T63,"偏食や時間がかかる")+COUNTIF(U63,"声かけでできる")+COUNTIF(V63,"声かけでできる")+COUNTIF(AA63,"ときどきある"))</f>
        <v/>
      </c>
      <c r="AO63" s="29">
        <f>IF($C63="","",IF(AM63&gt;=2,3,IF(OR(AM63=1,AN63&gt;=3),2,1)))</f>
        <v/>
      </c>
      <c r="AP63" s="27" t="n"/>
      <c r="AQ63" s="29">
        <f>IF($C63="","",COUNTIF(AB63,"非常に多い")+COUNTIF(AC63,"難しい")+COUNTIF(AD63,"不備が多い")+COUNTIF(AE63,"大きな差がある"))</f>
        <v/>
      </c>
      <c r="AR63" s="29">
        <f>IF($C63="","",IF(AQ63&gt;=3,3,IF(AQ63&gt;=2,2,1)))</f>
        <v/>
      </c>
      <c r="AS63" s="27" t="n"/>
    </row>
    <row r="64" ht="18" customHeight="1" s="20">
      <c r="A64" s="27" t="n"/>
      <c r="B64" s="27" t="n"/>
      <c r="C64" s="27" t="n"/>
      <c r="D64" s="27" t="n"/>
      <c r="E64" s="27" t="n"/>
      <c r="F64" s="27" t="n"/>
      <c r="G64" s="27" t="n"/>
      <c r="H64" s="28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8" t="n"/>
      <c r="S64" s="27" t="n"/>
      <c r="T64" s="27" t="n"/>
      <c r="U64" s="27" t="n"/>
      <c r="V64" s="27" t="n"/>
      <c r="W64" s="28" t="n"/>
      <c r="X64" s="27" t="n"/>
      <c r="Y64" s="28" t="n"/>
      <c r="Z64" s="28" t="n"/>
      <c r="AA64" s="27" t="n"/>
      <c r="AB64" s="27" t="n"/>
      <c r="AC64" s="27" t="n"/>
      <c r="AD64" s="27" t="n"/>
      <c r="AE64" s="27" t="n"/>
      <c r="AF64" s="27" t="n"/>
      <c r="AG64" s="27" t="n"/>
      <c r="AH64" s="28" t="n"/>
      <c r="AI64" s="27" t="n"/>
      <c r="AJ64" s="27" t="n"/>
      <c r="AK64" s="28" t="n"/>
      <c r="AL64" s="28" t="n"/>
      <c r="AM64" s="29">
        <f>IF($C64="","",COUNTIF(J64:P64,"要支援")+COUNTIF(Q64,"声かけでは変化なし")+COUNTIF(Q64,"支援を拒む・抵抗する")+COUNTIF(S64,"失敗が多い・援助が必要")+COUNTIF(T64,"偏食が強い・援助が必要")+COUNTIF(U64,"手伝いが必要")+COUNTIF(V64,"手伝いが必要")+COUNTIF(AA64,"よくある"))</f>
        <v/>
      </c>
      <c r="AN64" s="29">
        <f>IF($C64="","",COUNTIF(J64:P64,"見守り")+COUNTIF(Q64,"手を添える等が必要")+COUNTIF(S64,"ときどき失敗がある")+COUNTIF(T64,"偏食や時間がかかる")+COUNTIF(U64,"声かけでできる")+COUNTIF(V64,"声かけでできる")+COUNTIF(AA64,"ときどきある"))</f>
        <v/>
      </c>
      <c r="AO64" s="29">
        <f>IF($C64="","",IF(AM64&gt;=2,3,IF(OR(AM64=1,AN64&gt;=3),2,1)))</f>
        <v/>
      </c>
      <c r="AP64" s="27" t="n"/>
      <c r="AQ64" s="29">
        <f>IF($C64="","",COUNTIF(AB64,"非常に多い")+COUNTIF(AC64,"難しい")+COUNTIF(AD64,"不備が多い")+COUNTIF(AE64,"大きな差がある"))</f>
        <v/>
      </c>
      <c r="AR64" s="29">
        <f>IF($C64="","",IF(AQ64&gt;=3,3,IF(AQ64&gt;=2,2,1)))</f>
        <v/>
      </c>
      <c r="AS64" s="27" t="n"/>
    </row>
    <row r="65" ht="18" customHeight="1" s="20">
      <c r="A65" s="27" t="n"/>
      <c r="B65" s="27" t="n"/>
      <c r="C65" s="27" t="n"/>
      <c r="D65" s="27" t="n"/>
      <c r="E65" s="27" t="n"/>
      <c r="F65" s="27" t="n"/>
      <c r="G65" s="27" t="n"/>
      <c r="H65" s="28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8" t="n"/>
      <c r="S65" s="27" t="n"/>
      <c r="T65" s="27" t="n"/>
      <c r="U65" s="27" t="n"/>
      <c r="V65" s="27" t="n"/>
      <c r="W65" s="28" t="n"/>
      <c r="X65" s="27" t="n"/>
      <c r="Y65" s="28" t="n"/>
      <c r="Z65" s="28" t="n"/>
      <c r="AA65" s="27" t="n"/>
      <c r="AB65" s="27" t="n"/>
      <c r="AC65" s="27" t="n"/>
      <c r="AD65" s="27" t="n"/>
      <c r="AE65" s="27" t="n"/>
      <c r="AF65" s="27" t="n"/>
      <c r="AG65" s="27" t="n"/>
      <c r="AH65" s="28" t="n"/>
      <c r="AI65" s="27" t="n"/>
      <c r="AJ65" s="27" t="n"/>
      <c r="AK65" s="28" t="n"/>
      <c r="AL65" s="28" t="n"/>
      <c r="AM65" s="29">
        <f>IF($C65="","",COUNTIF(J65:P65,"要支援")+COUNTIF(Q65,"声かけでは変化なし")+COUNTIF(Q65,"支援を拒む・抵抗する")+COUNTIF(S65,"失敗が多い・援助が必要")+COUNTIF(T65,"偏食が強い・援助が必要")+COUNTIF(U65,"手伝いが必要")+COUNTIF(V65,"手伝いが必要")+COUNTIF(AA65,"よくある"))</f>
        <v/>
      </c>
      <c r="AN65" s="29">
        <f>IF($C65="","",COUNTIF(J65:P65,"見守り")+COUNTIF(Q65,"手を添える等が必要")+COUNTIF(S65,"ときどき失敗がある")+COUNTIF(T65,"偏食や時間がかかる")+COUNTIF(U65,"声かけでできる")+COUNTIF(V65,"声かけでできる")+COUNTIF(AA65,"ときどきある"))</f>
        <v/>
      </c>
      <c r="AO65" s="29">
        <f>IF($C65="","",IF(AM65&gt;=2,3,IF(OR(AM65=1,AN65&gt;=3),2,1)))</f>
        <v/>
      </c>
      <c r="AP65" s="27" t="n"/>
      <c r="AQ65" s="29">
        <f>IF($C65="","",COUNTIF(AB65,"非常に多い")+COUNTIF(AC65,"難しい")+COUNTIF(AD65,"不備が多い")+COUNTIF(AE65,"大きな差がある"))</f>
        <v/>
      </c>
      <c r="AR65" s="29">
        <f>IF($C65="","",IF(AQ65&gt;=3,3,IF(AQ65&gt;=2,2,1)))</f>
        <v/>
      </c>
      <c r="AS65" s="27" t="n"/>
    </row>
    <row r="66" ht="18" customHeight="1" s="20">
      <c r="A66" s="27" t="n"/>
      <c r="B66" s="27" t="n"/>
      <c r="C66" s="27" t="n"/>
      <c r="D66" s="27" t="n"/>
      <c r="E66" s="27" t="n"/>
      <c r="F66" s="27" t="n"/>
      <c r="G66" s="27" t="n"/>
      <c r="H66" s="28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8" t="n"/>
      <c r="S66" s="27" t="n"/>
      <c r="T66" s="27" t="n"/>
      <c r="U66" s="27" t="n"/>
      <c r="V66" s="27" t="n"/>
      <c r="W66" s="28" t="n"/>
      <c r="X66" s="27" t="n"/>
      <c r="Y66" s="28" t="n"/>
      <c r="Z66" s="28" t="n"/>
      <c r="AA66" s="27" t="n"/>
      <c r="AB66" s="27" t="n"/>
      <c r="AC66" s="27" t="n"/>
      <c r="AD66" s="27" t="n"/>
      <c r="AE66" s="27" t="n"/>
      <c r="AF66" s="27" t="n"/>
      <c r="AG66" s="27" t="n"/>
      <c r="AH66" s="28" t="n"/>
      <c r="AI66" s="27" t="n"/>
      <c r="AJ66" s="27" t="n"/>
      <c r="AK66" s="28" t="n"/>
      <c r="AL66" s="28" t="n"/>
      <c r="AM66" s="29">
        <f>IF($C66="","",COUNTIF(J66:P66,"要支援")+COUNTIF(Q66,"声かけでは変化なし")+COUNTIF(Q66,"支援を拒む・抵抗する")+COUNTIF(S66,"失敗が多い・援助が必要")+COUNTIF(T66,"偏食が強い・援助が必要")+COUNTIF(U66,"手伝いが必要")+COUNTIF(V66,"手伝いが必要")+COUNTIF(AA66,"よくある"))</f>
        <v/>
      </c>
      <c r="AN66" s="29">
        <f>IF($C66="","",COUNTIF(J66:P66,"見守り")+COUNTIF(Q66,"手を添える等が必要")+COUNTIF(S66,"ときどき失敗がある")+COUNTIF(T66,"偏食や時間がかかる")+COUNTIF(U66,"声かけでできる")+COUNTIF(V66,"声かけでできる")+COUNTIF(AA66,"ときどきある"))</f>
        <v/>
      </c>
      <c r="AO66" s="29">
        <f>IF($C66="","",IF(AM66&gt;=2,3,IF(OR(AM66=1,AN66&gt;=3),2,1)))</f>
        <v/>
      </c>
      <c r="AP66" s="27" t="n"/>
      <c r="AQ66" s="29">
        <f>IF($C66="","",COUNTIF(AB66,"非常に多い")+COUNTIF(AC66,"難しい")+COUNTIF(AD66,"不備が多い")+COUNTIF(AE66,"大きな差がある"))</f>
        <v/>
      </c>
      <c r="AR66" s="29">
        <f>IF($C66="","",IF(AQ66&gt;=3,3,IF(AQ66&gt;=2,2,1)))</f>
        <v/>
      </c>
      <c r="AS66" s="27" t="n"/>
    </row>
    <row r="67" ht="18" customHeight="1" s="20">
      <c r="A67" s="27" t="n"/>
      <c r="B67" s="27" t="n"/>
      <c r="C67" s="27" t="n"/>
      <c r="D67" s="27" t="n"/>
      <c r="E67" s="27" t="n"/>
      <c r="F67" s="27" t="n"/>
      <c r="G67" s="27" t="n"/>
      <c r="H67" s="28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8" t="n"/>
      <c r="S67" s="27" t="n"/>
      <c r="T67" s="27" t="n"/>
      <c r="U67" s="27" t="n"/>
      <c r="V67" s="27" t="n"/>
      <c r="W67" s="28" t="n"/>
      <c r="X67" s="27" t="n"/>
      <c r="Y67" s="28" t="n"/>
      <c r="Z67" s="28" t="n"/>
      <c r="AA67" s="27" t="n"/>
      <c r="AB67" s="27" t="n"/>
      <c r="AC67" s="27" t="n"/>
      <c r="AD67" s="27" t="n"/>
      <c r="AE67" s="27" t="n"/>
      <c r="AF67" s="27" t="n"/>
      <c r="AG67" s="27" t="n"/>
      <c r="AH67" s="28" t="n"/>
      <c r="AI67" s="27" t="n"/>
      <c r="AJ67" s="27" t="n"/>
      <c r="AK67" s="28" t="n"/>
      <c r="AL67" s="28" t="n"/>
      <c r="AM67" s="29">
        <f>IF($C67="","",COUNTIF(J67:P67,"要支援")+COUNTIF(Q67,"声かけでは変化なし")+COUNTIF(Q67,"支援を拒む・抵抗する")+COUNTIF(S67,"失敗が多い・援助が必要")+COUNTIF(T67,"偏食が強い・援助が必要")+COUNTIF(U67,"手伝いが必要")+COUNTIF(V67,"手伝いが必要")+COUNTIF(AA67,"よくある"))</f>
        <v/>
      </c>
      <c r="AN67" s="29">
        <f>IF($C67="","",COUNTIF(J67:P67,"見守り")+COUNTIF(Q67,"手を添える等が必要")+COUNTIF(S67,"ときどき失敗がある")+COUNTIF(T67,"偏食や時間がかかる")+COUNTIF(U67,"声かけでできる")+COUNTIF(V67,"声かけでできる")+COUNTIF(AA67,"ときどきある"))</f>
        <v/>
      </c>
      <c r="AO67" s="29">
        <f>IF($C67="","",IF(AM67&gt;=2,3,IF(OR(AM67=1,AN67&gt;=3),2,1)))</f>
        <v/>
      </c>
      <c r="AP67" s="27" t="n"/>
      <c r="AQ67" s="29">
        <f>IF($C67="","",COUNTIF(AB67,"非常に多い")+COUNTIF(AC67,"難しい")+COUNTIF(AD67,"不備が多い")+COUNTIF(AE67,"大きな差がある"))</f>
        <v/>
      </c>
      <c r="AR67" s="29">
        <f>IF($C67="","",IF(AQ67&gt;=3,3,IF(AQ67&gt;=2,2,1)))</f>
        <v/>
      </c>
      <c r="AS67" s="27" t="n"/>
    </row>
    <row r="68" ht="18" customHeight="1" s="20">
      <c r="A68" s="27" t="n"/>
      <c r="B68" s="27" t="n"/>
      <c r="C68" s="27" t="n"/>
      <c r="D68" s="27" t="n"/>
      <c r="E68" s="27" t="n"/>
      <c r="F68" s="27" t="n"/>
      <c r="G68" s="27" t="n"/>
      <c r="H68" s="28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8" t="n"/>
      <c r="S68" s="27" t="n"/>
      <c r="T68" s="27" t="n"/>
      <c r="U68" s="27" t="n"/>
      <c r="V68" s="27" t="n"/>
      <c r="W68" s="28" t="n"/>
      <c r="X68" s="27" t="n"/>
      <c r="Y68" s="28" t="n"/>
      <c r="Z68" s="28" t="n"/>
      <c r="AA68" s="27" t="n"/>
      <c r="AB68" s="27" t="n"/>
      <c r="AC68" s="27" t="n"/>
      <c r="AD68" s="27" t="n"/>
      <c r="AE68" s="27" t="n"/>
      <c r="AF68" s="27" t="n"/>
      <c r="AG68" s="27" t="n"/>
      <c r="AH68" s="28" t="n"/>
      <c r="AI68" s="27" t="n"/>
      <c r="AJ68" s="27" t="n"/>
      <c r="AK68" s="28" t="n"/>
      <c r="AL68" s="28" t="n"/>
      <c r="AM68" s="29">
        <f>IF($C68="","",COUNTIF(J68:P68,"要支援")+COUNTIF(Q68,"声かけでは変化なし")+COUNTIF(Q68,"支援を拒む・抵抗する")+COUNTIF(S68,"失敗が多い・援助が必要")+COUNTIF(T68,"偏食が強い・援助が必要")+COUNTIF(U68,"手伝いが必要")+COUNTIF(V68,"手伝いが必要")+COUNTIF(AA68,"よくある"))</f>
        <v/>
      </c>
      <c r="AN68" s="29">
        <f>IF($C68="","",COUNTIF(J68:P68,"見守り")+COUNTIF(Q68,"手を添える等が必要")+COUNTIF(S68,"ときどき失敗がある")+COUNTIF(T68,"偏食や時間がかかる")+COUNTIF(U68,"声かけでできる")+COUNTIF(V68,"声かけでできる")+COUNTIF(AA68,"ときどきある"))</f>
        <v/>
      </c>
      <c r="AO68" s="29">
        <f>IF($C68="","",IF(AM68&gt;=2,3,IF(OR(AM68=1,AN68&gt;=3),2,1)))</f>
        <v/>
      </c>
      <c r="AP68" s="27" t="n"/>
      <c r="AQ68" s="29">
        <f>IF($C68="","",COUNTIF(AB68,"非常に多い")+COUNTIF(AC68,"難しい")+COUNTIF(AD68,"不備が多い")+COUNTIF(AE68,"大きな差がある"))</f>
        <v/>
      </c>
      <c r="AR68" s="29">
        <f>IF($C68="","",IF(AQ68&gt;=3,3,IF(AQ68&gt;=2,2,1)))</f>
        <v/>
      </c>
      <c r="AS68" s="27" t="n"/>
    </row>
    <row r="69" ht="18" customHeight="1" s="20">
      <c r="A69" s="27" t="n"/>
      <c r="B69" s="27" t="n"/>
      <c r="C69" s="27" t="n"/>
      <c r="D69" s="27" t="n"/>
      <c r="E69" s="27" t="n"/>
      <c r="F69" s="27" t="n"/>
      <c r="G69" s="27" t="n"/>
      <c r="H69" s="28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8" t="n"/>
      <c r="S69" s="27" t="n"/>
      <c r="T69" s="27" t="n"/>
      <c r="U69" s="27" t="n"/>
      <c r="V69" s="27" t="n"/>
      <c r="W69" s="28" t="n"/>
      <c r="X69" s="27" t="n"/>
      <c r="Y69" s="28" t="n"/>
      <c r="Z69" s="28" t="n"/>
      <c r="AA69" s="27" t="n"/>
      <c r="AB69" s="27" t="n"/>
      <c r="AC69" s="27" t="n"/>
      <c r="AD69" s="27" t="n"/>
      <c r="AE69" s="27" t="n"/>
      <c r="AF69" s="27" t="n"/>
      <c r="AG69" s="27" t="n"/>
      <c r="AH69" s="28" t="n"/>
      <c r="AI69" s="27" t="n"/>
      <c r="AJ69" s="27" t="n"/>
      <c r="AK69" s="28" t="n"/>
      <c r="AL69" s="28" t="n"/>
      <c r="AM69" s="29">
        <f>IF($C69="","",COUNTIF(J69:P69,"要支援")+COUNTIF(Q69,"声かけでは変化なし")+COUNTIF(Q69,"支援を拒む・抵抗する")+COUNTIF(S69,"失敗が多い・援助が必要")+COUNTIF(T69,"偏食が強い・援助が必要")+COUNTIF(U69,"手伝いが必要")+COUNTIF(V69,"手伝いが必要")+COUNTIF(AA69,"よくある"))</f>
        <v/>
      </c>
      <c r="AN69" s="29">
        <f>IF($C69="","",COUNTIF(J69:P69,"見守り")+COUNTIF(Q69,"手を添える等が必要")+COUNTIF(S69,"ときどき失敗がある")+COUNTIF(T69,"偏食や時間がかかる")+COUNTIF(U69,"声かけでできる")+COUNTIF(V69,"声かけでできる")+COUNTIF(AA69,"ときどきある"))</f>
        <v/>
      </c>
      <c r="AO69" s="29">
        <f>IF($C69="","",IF(AM69&gt;=2,3,IF(OR(AM69=1,AN69&gt;=3),2,1)))</f>
        <v/>
      </c>
      <c r="AP69" s="27" t="n"/>
      <c r="AQ69" s="29">
        <f>IF($C69="","",COUNTIF(AB69,"非常に多い")+COUNTIF(AC69,"難しい")+COUNTIF(AD69,"不備が多い")+COUNTIF(AE69,"大きな差がある"))</f>
        <v/>
      </c>
      <c r="AR69" s="29">
        <f>IF($C69="","",IF(AQ69&gt;=3,3,IF(AQ69&gt;=2,2,1)))</f>
        <v/>
      </c>
      <c r="AS69" s="27" t="n"/>
    </row>
    <row r="70" ht="18" customHeight="1" s="20">
      <c r="A70" s="27" t="n"/>
      <c r="B70" s="27" t="n"/>
      <c r="C70" s="27" t="n"/>
      <c r="D70" s="27" t="n"/>
      <c r="E70" s="27" t="n"/>
      <c r="F70" s="27" t="n"/>
      <c r="G70" s="27" t="n"/>
      <c r="H70" s="28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8" t="n"/>
      <c r="S70" s="27" t="n"/>
      <c r="T70" s="27" t="n"/>
      <c r="U70" s="27" t="n"/>
      <c r="V70" s="27" t="n"/>
      <c r="W70" s="28" t="n"/>
      <c r="X70" s="27" t="n"/>
      <c r="Y70" s="28" t="n"/>
      <c r="Z70" s="28" t="n"/>
      <c r="AA70" s="27" t="n"/>
      <c r="AB70" s="27" t="n"/>
      <c r="AC70" s="27" t="n"/>
      <c r="AD70" s="27" t="n"/>
      <c r="AE70" s="27" t="n"/>
      <c r="AF70" s="27" t="n"/>
      <c r="AG70" s="27" t="n"/>
      <c r="AH70" s="28" t="n"/>
      <c r="AI70" s="27" t="n"/>
      <c r="AJ70" s="27" t="n"/>
      <c r="AK70" s="28" t="n"/>
      <c r="AL70" s="28" t="n"/>
      <c r="AM70" s="29">
        <f>IF($C70="","",COUNTIF(J70:P70,"要支援")+COUNTIF(Q70,"声かけでは変化なし")+COUNTIF(Q70,"支援を拒む・抵抗する")+COUNTIF(S70,"失敗が多い・援助が必要")+COUNTIF(T70,"偏食が強い・援助が必要")+COUNTIF(U70,"手伝いが必要")+COUNTIF(V70,"手伝いが必要")+COUNTIF(AA70,"よくある"))</f>
        <v/>
      </c>
      <c r="AN70" s="29">
        <f>IF($C70="","",COUNTIF(J70:P70,"見守り")+COUNTIF(Q70,"手を添える等が必要")+COUNTIF(S70,"ときどき失敗がある")+COUNTIF(T70,"偏食や時間がかかる")+COUNTIF(U70,"声かけでできる")+COUNTIF(V70,"声かけでできる")+COUNTIF(AA70,"ときどきある"))</f>
        <v/>
      </c>
      <c r="AO70" s="29">
        <f>IF($C70="","",IF(AM70&gt;=2,3,IF(OR(AM70=1,AN70&gt;=3),2,1)))</f>
        <v/>
      </c>
      <c r="AP70" s="27" t="n"/>
      <c r="AQ70" s="29">
        <f>IF($C70="","",COUNTIF(AB70,"非常に多い")+COUNTIF(AC70,"難しい")+COUNTIF(AD70,"不備が多い")+COUNTIF(AE70,"大きな差がある"))</f>
        <v/>
      </c>
      <c r="AR70" s="29">
        <f>IF($C70="","",IF(AQ70&gt;=3,3,IF(AQ70&gt;=2,2,1)))</f>
        <v/>
      </c>
      <c r="AS70" s="27" t="n"/>
    </row>
    <row r="71" ht="18" customHeight="1" s="20">
      <c r="A71" s="27" t="n"/>
      <c r="B71" s="27" t="n"/>
      <c r="C71" s="27" t="n"/>
      <c r="D71" s="27" t="n"/>
      <c r="E71" s="27" t="n"/>
      <c r="F71" s="27" t="n"/>
      <c r="G71" s="27" t="n"/>
      <c r="H71" s="28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8" t="n"/>
      <c r="S71" s="27" t="n"/>
      <c r="T71" s="27" t="n"/>
      <c r="U71" s="27" t="n"/>
      <c r="V71" s="27" t="n"/>
      <c r="W71" s="28" t="n"/>
      <c r="X71" s="27" t="n"/>
      <c r="Y71" s="28" t="n"/>
      <c r="Z71" s="28" t="n"/>
      <c r="AA71" s="27" t="n"/>
      <c r="AB71" s="27" t="n"/>
      <c r="AC71" s="27" t="n"/>
      <c r="AD71" s="27" t="n"/>
      <c r="AE71" s="27" t="n"/>
      <c r="AF71" s="27" t="n"/>
      <c r="AG71" s="27" t="n"/>
      <c r="AH71" s="28" t="n"/>
      <c r="AI71" s="27" t="n"/>
      <c r="AJ71" s="27" t="n"/>
      <c r="AK71" s="28" t="n"/>
      <c r="AL71" s="28" t="n"/>
      <c r="AM71" s="29">
        <f>IF($C71="","",COUNTIF(J71:P71,"要支援")+COUNTIF(Q71,"声かけでは変化なし")+COUNTIF(Q71,"支援を拒む・抵抗する")+COUNTIF(S71,"失敗が多い・援助が必要")+COUNTIF(T71,"偏食が強い・援助が必要")+COUNTIF(U71,"手伝いが必要")+COUNTIF(V71,"手伝いが必要")+COUNTIF(AA71,"よくある"))</f>
        <v/>
      </c>
      <c r="AN71" s="29">
        <f>IF($C71="","",COUNTIF(J71:P71,"見守り")+COUNTIF(Q71,"手を添える等が必要")+COUNTIF(S71,"ときどき失敗がある")+COUNTIF(T71,"偏食や時間がかかる")+COUNTIF(U71,"声かけでできる")+COUNTIF(V71,"声かけでできる")+COUNTIF(AA71,"ときどきある"))</f>
        <v/>
      </c>
      <c r="AO71" s="29">
        <f>IF($C71="","",IF(AM71&gt;=2,3,IF(OR(AM71=1,AN71&gt;=3),2,1)))</f>
        <v/>
      </c>
      <c r="AP71" s="27" t="n"/>
      <c r="AQ71" s="29">
        <f>IF($C71="","",COUNTIF(AB71,"非常に多い")+COUNTIF(AC71,"難しい")+COUNTIF(AD71,"不備が多い")+COUNTIF(AE71,"大きな差がある"))</f>
        <v/>
      </c>
      <c r="AR71" s="29">
        <f>IF($C71="","",IF(AQ71&gt;=3,3,IF(AQ71&gt;=2,2,1)))</f>
        <v/>
      </c>
      <c r="AS71" s="27" t="n"/>
    </row>
    <row r="72" ht="18" customHeight="1" s="20">
      <c r="A72" s="27" t="n"/>
      <c r="B72" s="27" t="n"/>
      <c r="C72" s="27" t="n"/>
      <c r="D72" s="27" t="n"/>
      <c r="E72" s="27" t="n"/>
      <c r="F72" s="27" t="n"/>
      <c r="G72" s="27" t="n"/>
      <c r="H72" s="28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8" t="n"/>
      <c r="S72" s="27" t="n"/>
      <c r="T72" s="27" t="n"/>
      <c r="U72" s="27" t="n"/>
      <c r="V72" s="27" t="n"/>
      <c r="W72" s="28" t="n"/>
      <c r="X72" s="27" t="n"/>
      <c r="Y72" s="28" t="n"/>
      <c r="Z72" s="28" t="n"/>
      <c r="AA72" s="27" t="n"/>
      <c r="AB72" s="27" t="n"/>
      <c r="AC72" s="27" t="n"/>
      <c r="AD72" s="27" t="n"/>
      <c r="AE72" s="27" t="n"/>
      <c r="AF72" s="27" t="n"/>
      <c r="AG72" s="27" t="n"/>
      <c r="AH72" s="28" t="n"/>
      <c r="AI72" s="27" t="n"/>
      <c r="AJ72" s="27" t="n"/>
      <c r="AK72" s="28" t="n"/>
      <c r="AL72" s="28" t="n"/>
      <c r="AM72" s="29">
        <f>IF($C72="","",COUNTIF(J72:P72,"要支援")+COUNTIF(Q72,"声かけでは変化なし")+COUNTIF(Q72,"支援を拒む・抵抗する")+COUNTIF(S72,"失敗が多い・援助が必要")+COUNTIF(T72,"偏食が強い・援助が必要")+COUNTIF(U72,"手伝いが必要")+COUNTIF(V72,"手伝いが必要")+COUNTIF(AA72,"よくある"))</f>
        <v/>
      </c>
      <c r="AN72" s="29">
        <f>IF($C72="","",COUNTIF(J72:P72,"見守り")+COUNTIF(Q72,"手を添える等が必要")+COUNTIF(S72,"ときどき失敗がある")+COUNTIF(T72,"偏食や時間がかかる")+COUNTIF(U72,"声かけでできる")+COUNTIF(V72,"声かけでできる")+COUNTIF(AA72,"ときどきある"))</f>
        <v/>
      </c>
      <c r="AO72" s="29">
        <f>IF($C72="","",IF(AM72&gt;=2,3,IF(OR(AM72=1,AN72&gt;=3),2,1)))</f>
        <v/>
      </c>
      <c r="AP72" s="27" t="n"/>
      <c r="AQ72" s="29">
        <f>IF($C72="","",COUNTIF(AB72,"非常に多い")+COUNTIF(AC72,"難しい")+COUNTIF(AD72,"不備が多い")+COUNTIF(AE72,"大きな差がある"))</f>
        <v/>
      </c>
      <c r="AR72" s="29">
        <f>IF($C72="","",IF(AQ72&gt;=3,3,IF(AQ72&gt;=2,2,1)))</f>
        <v/>
      </c>
      <c r="AS72" s="27" t="n"/>
    </row>
    <row r="73" ht="18" customHeight="1" s="20">
      <c r="A73" s="27" t="n"/>
      <c r="B73" s="27" t="n"/>
      <c r="C73" s="27" t="n"/>
      <c r="D73" s="27" t="n"/>
      <c r="E73" s="27" t="n"/>
      <c r="F73" s="27" t="n"/>
      <c r="G73" s="27" t="n"/>
      <c r="H73" s="28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8" t="n"/>
      <c r="S73" s="27" t="n"/>
      <c r="T73" s="27" t="n"/>
      <c r="U73" s="27" t="n"/>
      <c r="V73" s="27" t="n"/>
      <c r="W73" s="28" t="n"/>
      <c r="X73" s="27" t="n"/>
      <c r="Y73" s="28" t="n"/>
      <c r="Z73" s="28" t="n"/>
      <c r="AA73" s="27" t="n"/>
      <c r="AB73" s="27" t="n"/>
      <c r="AC73" s="27" t="n"/>
      <c r="AD73" s="27" t="n"/>
      <c r="AE73" s="27" t="n"/>
      <c r="AF73" s="27" t="n"/>
      <c r="AG73" s="27" t="n"/>
      <c r="AH73" s="28" t="n"/>
      <c r="AI73" s="27" t="n"/>
      <c r="AJ73" s="27" t="n"/>
      <c r="AK73" s="28" t="n"/>
      <c r="AL73" s="28" t="n"/>
      <c r="AM73" s="29">
        <f>IF($C73="","",COUNTIF(J73:P73,"要支援")+COUNTIF(Q73,"声かけでは変化なし")+COUNTIF(Q73,"支援を拒む・抵抗する")+COUNTIF(S73,"失敗が多い・援助が必要")+COUNTIF(T73,"偏食が強い・援助が必要")+COUNTIF(U73,"手伝いが必要")+COUNTIF(V73,"手伝いが必要")+COUNTIF(AA73,"よくある"))</f>
        <v/>
      </c>
      <c r="AN73" s="29">
        <f>IF($C73="","",COUNTIF(J73:P73,"見守り")+COUNTIF(Q73,"手を添える等が必要")+COUNTIF(S73,"ときどき失敗がある")+COUNTIF(T73,"偏食や時間がかかる")+COUNTIF(U73,"声かけでできる")+COUNTIF(V73,"声かけでできる")+COUNTIF(AA73,"ときどきある"))</f>
        <v/>
      </c>
      <c r="AO73" s="29">
        <f>IF($C73="","",IF(AM73&gt;=2,3,IF(OR(AM73=1,AN73&gt;=3),2,1)))</f>
        <v/>
      </c>
      <c r="AP73" s="27" t="n"/>
      <c r="AQ73" s="29">
        <f>IF($C73="","",COUNTIF(AB73,"非常に多い")+COUNTIF(AC73,"難しい")+COUNTIF(AD73,"不備が多い")+COUNTIF(AE73,"大きな差がある"))</f>
        <v/>
      </c>
      <c r="AR73" s="29">
        <f>IF($C73="","",IF(AQ73&gt;=3,3,IF(AQ73&gt;=2,2,1)))</f>
        <v/>
      </c>
      <c r="AS73" s="27" t="n"/>
    </row>
    <row r="74" ht="18" customHeight="1" s="20">
      <c r="A74" s="27" t="n"/>
      <c r="B74" s="27" t="n"/>
      <c r="C74" s="27" t="n"/>
      <c r="D74" s="27" t="n"/>
      <c r="E74" s="27" t="n"/>
      <c r="F74" s="27" t="n"/>
      <c r="G74" s="27" t="n"/>
      <c r="H74" s="28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8" t="n"/>
      <c r="S74" s="27" t="n"/>
      <c r="T74" s="27" t="n"/>
      <c r="U74" s="27" t="n"/>
      <c r="V74" s="27" t="n"/>
      <c r="W74" s="28" t="n"/>
      <c r="X74" s="27" t="n"/>
      <c r="Y74" s="28" t="n"/>
      <c r="Z74" s="28" t="n"/>
      <c r="AA74" s="27" t="n"/>
      <c r="AB74" s="27" t="n"/>
      <c r="AC74" s="27" t="n"/>
      <c r="AD74" s="27" t="n"/>
      <c r="AE74" s="27" t="n"/>
      <c r="AF74" s="27" t="n"/>
      <c r="AG74" s="27" t="n"/>
      <c r="AH74" s="28" t="n"/>
      <c r="AI74" s="27" t="n"/>
      <c r="AJ74" s="27" t="n"/>
      <c r="AK74" s="28" t="n"/>
      <c r="AL74" s="28" t="n"/>
      <c r="AM74" s="29">
        <f>IF($C74="","",COUNTIF(J74:P74,"要支援")+COUNTIF(Q74,"声かけでは変化なし")+COUNTIF(Q74,"支援を拒む・抵抗する")+COUNTIF(S74,"失敗が多い・援助が必要")+COUNTIF(T74,"偏食が強い・援助が必要")+COUNTIF(U74,"手伝いが必要")+COUNTIF(V74,"手伝いが必要")+COUNTIF(AA74,"よくある"))</f>
        <v/>
      </c>
      <c r="AN74" s="29">
        <f>IF($C74="","",COUNTIF(J74:P74,"見守り")+COUNTIF(Q74,"手を添える等が必要")+COUNTIF(S74,"ときどき失敗がある")+COUNTIF(T74,"偏食や時間がかかる")+COUNTIF(U74,"声かけでできる")+COUNTIF(V74,"声かけでできる")+COUNTIF(AA74,"ときどきある"))</f>
        <v/>
      </c>
      <c r="AO74" s="29">
        <f>IF($C74="","",IF(AM74&gt;=2,3,IF(OR(AM74=1,AN74&gt;=3),2,1)))</f>
        <v/>
      </c>
      <c r="AP74" s="27" t="n"/>
      <c r="AQ74" s="29">
        <f>IF($C74="","",COUNTIF(AB74,"非常に多い")+COUNTIF(AC74,"難しい")+COUNTIF(AD74,"不備が多い")+COUNTIF(AE74,"大きな差がある"))</f>
        <v/>
      </c>
      <c r="AR74" s="29">
        <f>IF($C74="","",IF(AQ74&gt;=3,3,IF(AQ74&gt;=2,2,1)))</f>
        <v/>
      </c>
      <c r="AS74" s="27" t="n"/>
    </row>
    <row r="75" ht="18" customHeight="1" s="20">
      <c r="A75" s="27" t="n"/>
      <c r="B75" s="27" t="n"/>
      <c r="C75" s="27" t="n"/>
      <c r="D75" s="27" t="n"/>
      <c r="E75" s="27" t="n"/>
      <c r="F75" s="27" t="n"/>
      <c r="G75" s="27" t="n"/>
      <c r="H75" s="28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8" t="n"/>
      <c r="S75" s="27" t="n"/>
      <c r="T75" s="27" t="n"/>
      <c r="U75" s="27" t="n"/>
      <c r="V75" s="27" t="n"/>
      <c r="W75" s="28" t="n"/>
      <c r="X75" s="27" t="n"/>
      <c r="Y75" s="28" t="n"/>
      <c r="Z75" s="28" t="n"/>
      <c r="AA75" s="27" t="n"/>
      <c r="AB75" s="27" t="n"/>
      <c r="AC75" s="27" t="n"/>
      <c r="AD75" s="27" t="n"/>
      <c r="AE75" s="27" t="n"/>
      <c r="AF75" s="27" t="n"/>
      <c r="AG75" s="27" t="n"/>
      <c r="AH75" s="28" t="n"/>
      <c r="AI75" s="27" t="n"/>
      <c r="AJ75" s="27" t="n"/>
      <c r="AK75" s="28" t="n"/>
      <c r="AL75" s="28" t="n"/>
      <c r="AM75" s="29">
        <f>IF($C75="","",COUNTIF(J75:P75,"要支援")+COUNTIF(Q75,"声かけでは変化なし")+COUNTIF(Q75,"支援を拒む・抵抗する")+COUNTIF(S75,"失敗が多い・援助が必要")+COUNTIF(T75,"偏食が強い・援助が必要")+COUNTIF(U75,"手伝いが必要")+COUNTIF(V75,"手伝いが必要")+COUNTIF(AA75,"よくある"))</f>
        <v/>
      </c>
      <c r="AN75" s="29">
        <f>IF($C75="","",COUNTIF(J75:P75,"見守り")+COUNTIF(Q75,"手を添える等が必要")+COUNTIF(S75,"ときどき失敗がある")+COUNTIF(T75,"偏食や時間がかかる")+COUNTIF(U75,"声かけでできる")+COUNTIF(V75,"声かけでできる")+COUNTIF(AA75,"ときどきある"))</f>
        <v/>
      </c>
      <c r="AO75" s="29">
        <f>IF($C75="","",IF(AM75&gt;=2,3,IF(OR(AM75=1,AN75&gt;=3),2,1)))</f>
        <v/>
      </c>
      <c r="AP75" s="27" t="n"/>
      <c r="AQ75" s="29">
        <f>IF($C75="","",COUNTIF(AB75,"非常に多い")+COUNTIF(AC75,"難しい")+COUNTIF(AD75,"不備が多い")+COUNTIF(AE75,"大きな差がある"))</f>
        <v/>
      </c>
      <c r="AR75" s="29">
        <f>IF($C75="","",IF(AQ75&gt;=3,3,IF(AQ75&gt;=2,2,1)))</f>
        <v/>
      </c>
      <c r="AS75" s="27" t="n"/>
    </row>
    <row r="76" ht="18" customHeight="1" s="20">
      <c r="A76" s="27" t="n"/>
      <c r="B76" s="27" t="n"/>
      <c r="C76" s="27" t="n"/>
      <c r="D76" s="27" t="n"/>
      <c r="E76" s="27" t="n"/>
      <c r="F76" s="27" t="n"/>
      <c r="G76" s="27" t="n"/>
      <c r="H76" s="28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8" t="n"/>
      <c r="S76" s="27" t="n"/>
      <c r="T76" s="27" t="n"/>
      <c r="U76" s="27" t="n"/>
      <c r="V76" s="27" t="n"/>
      <c r="W76" s="28" t="n"/>
      <c r="X76" s="27" t="n"/>
      <c r="Y76" s="28" t="n"/>
      <c r="Z76" s="28" t="n"/>
      <c r="AA76" s="27" t="n"/>
      <c r="AB76" s="27" t="n"/>
      <c r="AC76" s="27" t="n"/>
      <c r="AD76" s="27" t="n"/>
      <c r="AE76" s="27" t="n"/>
      <c r="AF76" s="27" t="n"/>
      <c r="AG76" s="27" t="n"/>
      <c r="AH76" s="28" t="n"/>
      <c r="AI76" s="27" t="n"/>
      <c r="AJ76" s="27" t="n"/>
      <c r="AK76" s="28" t="n"/>
      <c r="AL76" s="28" t="n"/>
      <c r="AM76" s="29">
        <f>IF($C76="","",COUNTIF(J76:P76,"要支援")+COUNTIF(Q76,"声かけでは変化なし")+COUNTIF(Q76,"支援を拒む・抵抗する")+COUNTIF(S76,"失敗が多い・援助が必要")+COUNTIF(T76,"偏食が強い・援助が必要")+COUNTIF(U76,"手伝いが必要")+COUNTIF(V76,"手伝いが必要")+COUNTIF(AA76,"よくある"))</f>
        <v/>
      </c>
      <c r="AN76" s="29">
        <f>IF($C76="","",COUNTIF(J76:P76,"見守り")+COUNTIF(Q76,"手を添える等が必要")+COUNTIF(S76,"ときどき失敗がある")+COUNTIF(T76,"偏食や時間がかかる")+COUNTIF(U76,"声かけでできる")+COUNTIF(V76,"声かけでできる")+COUNTIF(AA76,"ときどきある"))</f>
        <v/>
      </c>
      <c r="AO76" s="29">
        <f>IF($C76="","",IF(AM76&gt;=2,3,IF(OR(AM76=1,AN76&gt;=3),2,1)))</f>
        <v/>
      </c>
      <c r="AP76" s="27" t="n"/>
      <c r="AQ76" s="29">
        <f>IF($C76="","",COUNTIF(AB76,"非常に多い")+COUNTIF(AC76,"難しい")+COUNTIF(AD76,"不備が多い")+COUNTIF(AE76,"大きな差がある"))</f>
        <v/>
      </c>
      <c r="AR76" s="29">
        <f>IF($C76="","",IF(AQ76&gt;=3,3,IF(AQ76&gt;=2,2,1)))</f>
        <v/>
      </c>
      <c r="AS76" s="27" t="n"/>
    </row>
    <row r="77" ht="18" customHeight="1" s="20">
      <c r="A77" s="27" t="n"/>
      <c r="B77" s="27" t="n"/>
      <c r="C77" s="27" t="n"/>
      <c r="D77" s="27" t="n"/>
      <c r="E77" s="27" t="n"/>
      <c r="F77" s="27" t="n"/>
      <c r="G77" s="27" t="n"/>
      <c r="H77" s="28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8" t="n"/>
      <c r="S77" s="27" t="n"/>
      <c r="T77" s="27" t="n"/>
      <c r="U77" s="27" t="n"/>
      <c r="V77" s="27" t="n"/>
      <c r="W77" s="28" t="n"/>
      <c r="X77" s="27" t="n"/>
      <c r="Y77" s="28" t="n"/>
      <c r="Z77" s="28" t="n"/>
      <c r="AA77" s="27" t="n"/>
      <c r="AB77" s="27" t="n"/>
      <c r="AC77" s="27" t="n"/>
      <c r="AD77" s="27" t="n"/>
      <c r="AE77" s="27" t="n"/>
      <c r="AF77" s="27" t="n"/>
      <c r="AG77" s="27" t="n"/>
      <c r="AH77" s="28" t="n"/>
      <c r="AI77" s="27" t="n"/>
      <c r="AJ77" s="27" t="n"/>
      <c r="AK77" s="28" t="n"/>
      <c r="AL77" s="28" t="n"/>
      <c r="AM77" s="29">
        <f>IF($C77="","",COUNTIF(J77:P77,"要支援")+COUNTIF(Q77,"声かけでは変化なし")+COUNTIF(Q77,"支援を拒む・抵抗する")+COUNTIF(S77,"失敗が多い・援助が必要")+COUNTIF(T77,"偏食が強い・援助が必要")+COUNTIF(U77,"手伝いが必要")+COUNTIF(V77,"手伝いが必要")+COUNTIF(AA77,"よくある"))</f>
        <v/>
      </c>
      <c r="AN77" s="29">
        <f>IF($C77="","",COUNTIF(J77:P77,"見守り")+COUNTIF(Q77,"手を添える等が必要")+COUNTIF(S77,"ときどき失敗がある")+COUNTIF(T77,"偏食や時間がかかる")+COUNTIF(U77,"声かけでできる")+COUNTIF(V77,"声かけでできる")+COUNTIF(AA77,"ときどきある"))</f>
        <v/>
      </c>
      <c r="AO77" s="29">
        <f>IF($C77="","",IF(AM77&gt;=2,3,IF(OR(AM77=1,AN77&gt;=3),2,1)))</f>
        <v/>
      </c>
      <c r="AP77" s="27" t="n"/>
      <c r="AQ77" s="29">
        <f>IF($C77="","",COUNTIF(AB77,"非常に多い")+COUNTIF(AC77,"難しい")+COUNTIF(AD77,"不備が多い")+COUNTIF(AE77,"大きな差がある"))</f>
        <v/>
      </c>
      <c r="AR77" s="29">
        <f>IF($C77="","",IF(AQ77&gt;=3,3,IF(AQ77&gt;=2,2,1)))</f>
        <v/>
      </c>
      <c r="AS77" s="27" t="n"/>
    </row>
    <row r="78" ht="18" customHeight="1" s="20">
      <c r="A78" s="27" t="n"/>
      <c r="B78" s="27" t="n"/>
      <c r="C78" s="27" t="n"/>
      <c r="D78" s="27" t="n"/>
      <c r="E78" s="27" t="n"/>
      <c r="F78" s="27" t="n"/>
      <c r="G78" s="27" t="n"/>
      <c r="H78" s="28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8" t="n"/>
      <c r="S78" s="27" t="n"/>
      <c r="T78" s="27" t="n"/>
      <c r="U78" s="27" t="n"/>
      <c r="V78" s="27" t="n"/>
      <c r="W78" s="28" t="n"/>
      <c r="X78" s="27" t="n"/>
      <c r="Y78" s="28" t="n"/>
      <c r="Z78" s="28" t="n"/>
      <c r="AA78" s="27" t="n"/>
      <c r="AB78" s="27" t="n"/>
      <c r="AC78" s="27" t="n"/>
      <c r="AD78" s="27" t="n"/>
      <c r="AE78" s="27" t="n"/>
      <c r="AF78" s="27" t="n"/>
      <c r="AG78" s="27" t="n"/>
      <c r="AH78" s="28" t="n"/>
      <c r="AI78" s="27" t="n"/>
      <c r="AJ78" s="27" t="n"/>
      <c r="AK78" s="28" t="n"/>
      <c r="AL78" s="28" t="n"/>
      <c r="AM78" s="29">
        <f>IF($C78="","",COUNTIF(J78:P78,"要支援")+COUNTIF(Q78,"声かけでは変化なし")+COUNTIF(Q78,"支援を拒む・抵抗する")+COUNTIF(S78,"失敗が多い・援助が必要")+COUNTIF(T78,"偏食が強い・援助が必要")+COUNTIF(U78,"手伝いが必要")+COUNTIF(V78,"手伝いが必要")+COUNTIF(AA78,"よくある"))</f>
        <v/>
      </c>
      <c r="AN78" s="29">
        <f>IF($C78="","",COUNTIF(J78:P78,"見守り")+COUNTIF(Q78,"手を添える等が必要")+COUNTIF(S78,"ときどき失敗がある")+COUNTIF(T78,"偏食や時間がかかる")+COUNTIF(U78,"声かけでできる")+COUNTIF(V78,"声かけでできる")+COUNTIF(AA78,"ときどきある"))</f>
        <v/>
      </c>
      <c r="AO78" s="29">
        <f>IF($C78="","",IF(AM78&gt;=2,3,IF(OR(AM78=1,AN78&gt;=3),2,1)))</f>
        <v/>
      </c>
      <c r="AP78" s="27" t="n"/>
      <c r="AQ78" s="29">
        <f>IF($C78="","",COUNTIF(AB78,"非常に多い")+COUNTIF(AC78,"難しい")+COUNTIF(AD78,"不備が多い")+COUNTIF(AE78,"大きな差がある"))</f>
        <v/>
      </c>
      <c r="AR78" s="29">
        <f>IF($C78="","",IF(AQ78&gt;=3,3,IF(AQ78&gt;=2,2,1)))</f>
        <v/>
      </c>
      <c r="AS78" s="27" t="n"/>
    </row>
    <row r="79" ht="18" customHeight="1" s="20">
      <c r="A79" s="27" t="n"/>
      <c r="B79" s="27" t="n"/>
      <c r="C79" s="27" t="n"/>
      <c r="D79" s="27" t="n"/>
      <c r="E79" s="27" t="n"/>
      <c r="F79" s="27" t="n"/>
      <c r="G79" s="27" t="n"/>
      <c r="H79" s="28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8" t="n"/>
      <c r="S79" s="27" t="n"/>
      <c r="T79" s="27" t="n"/>
      <c r="U79" s="27" t="n"/>
      <c r="V79" s="27" t="n"/>
      <c r="W79" s="28" t="n"/>
      <c r="X79" s="27" t="n"/>
      <c r="Y79" s="28" t="n"/>
      <c r="Z79" s="28" t="n"/>
      <c r="AA79" s="27" t="n"/>
      <c r="AB79" s="27" t="n"/>
      <c r="AC79" s="27" t="n"/>
      <c r="AD79" s="27" t="n"/>
      <c r="AE79" s="27" t="n"/>
      <c r="AF79" s="27" t="n"/>
      <c r="AG79" s="27" t="n"/>
      <c r="AH79" s="28" t="n"/>
      <c r="AI79" s="27" t="n"/>
      <c r="AJ79" s="27" t="n"/>
      <c r="AK79" s="28" t="n"/>
      <c r="AL79" s="28" t="n"/>
      <c r="AM79" s="29">
        <f>IF($C79="","",COUNTIF(J79:P79,"要支援")+COUNTIF(Q79,"声かけでは変化なし")+COUNTIF(Q79,"支援を拒む・抵抗する")+COUNTIF(S79,"失敗が多い・援助が必要")+COUNTIF(T79,"偏食が強い・援助が必要")+COUNTIF(U79,"手伝いが必要")+COUNTIF(V79,"手伝いが必要")+COUNTIF(AA79,"よくある"))</f>
        <v/>
      </c>
      <c r="AN79" s="29">
        <f>IF($C79="","",COUNTIF(J79:P79,"見守り")+COUNTIF(Q79,"手を添える等が必要")+COUNTIF(S79,"ときどき失敗がある")+COUNTIF(T79,"偏食や時間がかかる")+COUNTIF(U79,"声かけでできる")+COUNTIF(V79,"声かけでできる")+COUNTIF(AA79,"ときどきある"))</f>
        <v/>
      </c>
      <c r="AO79" s="29">
        <f>IF($C79="","",IF(AM79&gt;=2,3,IF(OR(AM79=1,AN79&gt;=3),2,1)))</f>
        <v/>
      </c>
      <c r="AP79" s="27" t="n"/>
      <c r="AQ79" s="29">
        <f>IF($C79="","",COUNTIF(AB79,"非常に多い")+COUNTIF(AC79,"難しい")+COUNTIF(AD79,"不備が多い")+COUNTIF(AE79,"大きな差がある"))</f>
        <v/>
      </c>
      <c r="AR79" s="29">
        <f>IF($C79="","",IF(AQ79&gt;=3,3,IF(AQ79&gt;=2,2,1)))</f>
        <v/>
      </c>
      <c r="AS79" s="27" t="n"/>
    </row>
    <row r="80" ht="18" customHeight="1" s="20">
      <c r="A80" s="27" t="n"/>
      <c r="B80" s="27" t="n"/>
      <c r="C80" s="27" t="n"/>
      <c r="D80" s="27" t="n"/>
      <c r="E80" s="27" t="n"/>
      <c r="F80" s="27" t="n"/>
      <c r="G80" s="27" t="n"/>
      <c r="H80" s="28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8" t="n"/>
      <c r="S80" s="27" t="n"/>
      <c r="T80" s="27" t="n"/>
      <c r="U80" s="27" t="n"/>
      <c r="V80" s="27" t="n"/>
      <c r="W80" s="28" t="n"/>
      <c r="X80" s="27" t="n"/>
      <c r="Y80" s="28" t="n"/>
      <c r="Z80" s="28" t="n"/>
      <c r="AA80" s="27" t="n"/>
      <c r="AB80" s="27" t="n"/>
      <c r="AC80" s="27" t="n"/>
      <c r="AD80" s="27" t="n"/>
      <c r="AE80" s="27" t="n"/>
      <c r="AF80" s="27" t="n"/>
      <c r="AG80" s="27" t="n"/>
      <c r="AH80" s="28" t="n"/>
      <c r="AI80" s="27" t="n"/>
      <c r="AJ80" s="27" t="n"/>
      <c r="AK80" s="28" t="n"/>
      <c r="AL80" s="28" t="n"/>
      <c r="AM80" s="29">
        <f>IF($C80="","",COUNTIF(J80:P80,"要支援")+COUNTIF(Q80,"声かけでは変化なし")+COUNTIF(Q80,"支援を拒む・抵抗する")+COUNTIF(S80,"失敗が多い・援助が必要")+COUNTIF(T80,"偏食が強い・援助が必要")+COUNTIF(U80,"手伝いが必要")+COUNTIF(V80,"手伝いが必要")+COUNTIF(AA80,"よくある"))</f>
        <v/>
      </c>
      <c r="AN80" s="29">
        <f>IF($C80="","",COUNTIF(J80:P80,"見守り")+COUNTIF(Q80,"手を添える等が必要")+COUNTIF(S80,"ときどき失敗がある")+COUNTIF(T80,"偏食や時間がかかる")+COUNTIF(U80,"声かけでできる")+COUNTIF(V80,"声かけでできる")+COUNTIF(AA80,"ときどきある"))</f>
        <v/>
      </c>
      <c r="AO80" s="29">
        <f>IF($C80="","",IF(AM80&gt;=2,3,IF(OR(AM80=1,AN80&gt;=3),2,1)))</f>
        <v/>
      </c>
      <c r="AP80" s="27" t="n"/>
      <c r="AQ80" s="29">
        <f>IF($C80="","",COUNTIF(AB80,"非常に多い")+COUNTIF(AC80,"難しい")+COUNTIF(AD80,"不備が多い")+COUNTIF(AE80,"大きな差がある"))</f>
        <v/>
      </c>
      <c r="AR80" s="29">
        <f>IF($C80="","",IF(AQ80&gt;=3,3,IF(AQ80&gt;=2,2,1)))</f>
        <v/>
      </c>
      <c r="AS80" s="27" t="n"/>
    </row>
    <row r="81" ht="18" customHeight="1" s="20">
      <c r="A81" s="27" t="n"/>
      <c r="B81" s="27" t="n"/>
      <c r="C81" s="27" t="n"/>
      <c r="D81" s="27" t="n"/>
      <c r="E81" s="27" t="n"/>
      <c r="F81" s="27" t="n"/>
      <c r="G81" s="27" t="n"/>
      <c r="H81" s="28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8" t="n"/>
      <c r="S81" s="27" t="n"/>
      <c r="T81" s="27" t="n"/>
      <c r="U81" s="27" t="n"/>
      <c r="V81" s="27" t="n"/>
      <c r="W81" s="28" t="n"/>
      <c r="X81" s="27" t="n"/>
      <c r="Y81" s="28" t="n"/>
      <c r="Z81" s="28" t="n"/>
      <c r="AA81" s="27" t="n"/>
      <c r="AB81" s="27" t="n"/>
      <c r="AC81" s="27" t="n"/>
      <c r="AD81" s="27" t="n"/>
      <c r="AE81" s="27" t="n"/>
      <c r="AF81" s="27" t="n"/>
      <c r="AG81" s="27" t="n"/>
      <c r="AH81" s="28" t="n"/>
      <c r="AI81" s="27" t="n"/>
      <c r="AJ81" s="27" t="n"/>
      <c r="AK81" s="28" t="n"/>
      <c r="AL81" s="28" t="n"/>
      <c r="AM81" s="29">
        <f>IF($C81="","",COUNTIF(J81:P81,"要支援")+COUNTIF(Q81,"声かけでは変化なし")+COUNTIF(Q81,"支援を拒む・抵抗する")+COUNTIF(S81,"失敗が多い・援助が必要")+COUNTIF(T81,"偏食が強い・援助が必要")+COUNTIF(U81,"手伝いが必要")+COUNTIF(V81,"手伝いが必要")+COUNTIF(AA81,"よくある"))</f>
        <v/>
      </c>
      <c r="AN81" s="29">
        <f>IF($C81="","",COUNTIF(J81:P81,"見守り")+COUNTIF(Q81,"手を添える等が必要")+COUNTIF(S81,"ときどき失敗がある")+COUNTIF(T81,"偏食や時間がかかる")+COUNTIF(U81,"声かけでできる")+COUNTIF(V81,"声かけでできる")+COUNTIF(AA81,"ときどきある"))</f>
        <v/>
      </c>
      <c r="AO81" s="29">
        <f>IF($C81="","",IF(AM81&gt;=2,3,IF(OR(AM81=1,AN81&gt;=3),2,1)))</f>
        <v/>
      </c>
      <c r="AP81" s="27" t="n"/>
      <c r="AQ81" s="29">
        <f>IF($C81="","",COUNTIF(AB81,"非常に多い")+COUNTIF(AC81,"難しい")+COUNTIF(AD81,"不備が多い")+COUNTIF(AE81,"大きな差がある"))</f>
        <v/>
      </c>
      <c r="AR81" s="29">
        <f>IF($C81="","",IF(AQ81&gt;=3,3,IF(AQ81&gt;=2,2,1)))</f>
        <v/>
      </c>
      <c r="AS81" s="27" t="n"/>
    </row>
    <row r="82" ht="18" customHeight="1" s="20">
      <c r="A82" s="27" t="n"/>
      <c r="B82" s="27" t="n"/>
      <c r="C82" s="27" t="n"/>
      <c r="D82" s="27" t="n"/>
      <c r="E82" s="27" t="n"/>
      <c r="F82" s="27" t="n"/>
      <c r="G82" s="27" t="n"/>
      <c r="H82" s="28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8" t="n"/>
      <c r="S82" s="27" t="n"/>
      <c r="T82" s="27" t="n"/>
      <c r="U82" s="27" t="n"/>
      <c r="V82" s="27" t="n"/>
      <c r="W82" s="28" t="n"/>
      <c r="X82" s="27" t="n"/>
      <c r="Y82" s="28" t="n"/>
      <c r="Z82" s="28" t="n"/>
      <c r="AA82" s="27" t="n"/>
      <c r="AB82" s="27" t="n"/>
      <c r="AC82" s="27" t="n"/>
      <c r="AD82" s="27" t="n"/>
      <c r="AE82" s="27" t="n"/>
      <c r="AF82" s="27" t="n"/>
      <c r="AG82" s="27" t="n"/>
      <c r="AH82" s="28" t="n"/>
      <c r="AI82" s="27" t="n"/>
      <c r="AJ82" s="27" t="n"/>
      <c r="AK82" s="28" t="n"/>
      <c r="AL82" s="28" t="n"/>
      <c r="AM82" s="29">
        <f>IF($C82="","",COUNTIF(J82:P82,"要支援")+COUNTIF(Q82,"声かけでは変化なし")+COUNTIF(Q82,"支援を拒む・抵抗する")+COUNTIF(S82,"失敗が多い・援助が必要")+COUNTIF(T82,"偏食が強い・援助が必要")+COUNTIF(U82,"手伝いが必要")+COUNTIF(V82,"手伝いが必要")+COUNTIF(AA82,"よくある"))</f>
        <v/>
      </c>
      <c r="AN82" s="29">
        <f>IF($C82="","",COUNTIF(J82:P82,"見守り")+COUNTIF(Q82,"手を添える等が必要")+COUNTIF(S82,"ときどき失敗がある")+COUNTIF(T82,"偏食や時間がかかる")+COUNTIF(U82,"声かけでできる")+COUNTIF(V82,"声かけでできる")+COUNTIF(AA82,"ときどきある"))</f>
        <v/>
      </c>
      <c r="AO82" s="29">
        <f>IF($C82="","",IF(AM82&gt;=2,3,IF(OR(AM82=1,AN82&gt;=3),2,1)))</f>
        <v/>
      </c>
      <c r="AP82" s="27" t="n"/>
      <c r="AQ82" s="29">
        <f>IF($C82="","",COUNTIF(AB82,"非常に多い")+COUNTIF(AC82,"難しい")+COUNTIF(AD82,"不備が多い")+COUNTIF(AE82,"大きな差がある"))</f>
        <v/>
      </c>
      <c r="AR82" s="29">
        <f>IF($C82="","",IF(AQ82&gt;=3,3,IF(AQ82&gt;=2,2,1)))</f>
        <v/>
      </c>
      <c r="AS82" s="27" t="n"/>
    </row>
    <row r="83" ht="18" customHeight="1" s="20">
      <c r="A83" s="27" t="n"/>
      <c r="B83" s="27" t="n"/>
      <c r="C83" s="27" t="n"/>
      <c r="D83" s="27" t="n"/>
      <c r="E83" s="27" t="n"/>
      <c r="F83" s="27" t="n"/>
      <c r="G83" s="27" t="n"/>
      <c r="H83" s="28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8" t="n"/>
      <c r="S83" s="27" t="n"/>
      <c r="T83" s="27" t="n"/>
      <c r="U83" s="27" t="n"/>
      <c r="V83" s="27" t="n"/>
      <c r="W83" s="28" t="n"/>
      <c r="X83" s="27" t="n"/>
      <c r="Y83" s="28" t="n"/>
      <c r="Z83" s="28" t="n"/>
      <c r="AA83" s="27" t="n"/>
      <c r="AB83" s="27" t="n"/>
      <c r="AC83" s="27" t="n"/>
      <c r="AD83" s="27" t="n"/>
      <c r="AE83" s="27" t="n"/>
      <c r="AF83" s="27" t="n"/>
      <c r="AG83" s="27" t="n"/>
      <c r="AH83" s="28" t="n"/>
      <c r="AI83" s="27" t="n"/>
      <c r="AJ83" s="27" t="n"/>
      <c r="AK83" s="28" t="n"/>
      <c r="AL83" s="28" t="n"/>
      <c r="AM83" s="29">
        <f>IF($C83="","",COUNTIF(J83:P83,"要支援")+COUNTIF(Q83,"声かけでは変化なし")+COUNTIF(Q83,"支援を拒む・抵抗する")+COUNTIF(S83,"失敗が多い・援助が必要")+COUNTIF(T83,"偏食が強い・援助が必要")+COUNTIF(U83,"手伝いが必要")+COUNTIF(V83,"手伝いが必要")+COUNTIF(AA83,"よくある"))</f>
        <v/>
      </c>
      <c r="AN83" s="29">
        <f>IF($C83="","",COUNTIF(J83:P83,"見守り")+COUNTIF(Q83,"手を添える等が必要")+COUNTIF(S83,"ときどき失敗がある")+COUNTIF(T83,"偏食や時間がかかる")+COUNTIF(U83,"声かけでできる")+COUNTIF(V83,"声かけでできる")+COUNTIF(AA83,"ときどきある"))</f>
        <v/>
      </c>
      <c r="AO83" s="29">
        <f>IF($C83="","",IF(AM83&gt;=2,3,IF(OR(AM83=1,AN83&gt;=3),2,1)))</f>
        <v/>
      </c>
      <c r="AP83" s="27" t="n"/>
      <c r="AQ83" s="29">
        <f>IF($C83="","",COUNTIF(AB83,"非常に多い")+COUNTIF(AC83,"難しい")+COUNTIF(AD83,"不備が多い")+COUNTIF(AE83,"大きな差がある"))</f>
        <v/>
      </c>
      <c r="AR83" s="29">
        <f>IF($C83="","",IF(AQ83&gt;=3,3,IF(AQ83&gt;=2,2,1)))</f>
        <v/>
      </c>
      <c r="AS83" s="27" t="n"/>
    </row>
    <row r="84" ht="18" customHeight="1" s="20">
      <c r="A84" s="27" t="n"/>
      <c r="B84" s="27" t="n"/>
      <c r="C84" s="27" t="n"/>
      <c r="D84" s="27" t="n"/>
      <c r="E84" s="27" t="n"/>
      <c r="F84" s="27" t="n"/>
      <c r="G84" s="27" t="n"/>
      <c r="H84" s="28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8" t="n"/>
      <c r="S84" s="27" t="n"/>
      <c r="T84" s="27" t="n"/>
      <c r="U84" s="27" t="n"/>
      <c r="V84" s="27" t="n"/>
      <c r="W84" s="28" t="n"/>
      <c r="X84" s="27" t="n"/>
      <c r="Y84" s="28" t="n"/>
      <c r="Z84" s="28" t="n"/>
      <c r="AA84" s="27" t="n"/>
      <c r="AB84" s="27" t="n"/>
      <c r="AC84" s="27" t="n"/>
      <c r="AD84" s="27" t="n"/>
      <c r="AE84" s="27" t="n"/>
      <c r="AF84" s="27" t="n"/>
      <c r="AG84" s="27" t="n"/>
      <c r="AH84" s="28" t="n"/>
      <c r="AI84" s="27" t="n"/>
      <c r="AJ84" s="27" t="n"/>
      <c r="AK84" s="28" t="n"/>
      <c r="AL84" s="28" t="n"/>
      <c r="AM84" s="29">
        <f>IF($C84="","",COUNTIF(J84:P84,"要支援")+COUNTIF(Q84,"声かけでは変化なし")+COUNTIF(Q84,"支援を拒む・抵抗する")+COUNTIF(S84,"失敗が多い・援助が必要")+COUNTIF(T84,"偏食が強い・援助が必要")+COUNTIF(U84,"手伝いが必要")+COUNTIF(V84,"手伝いが必要")+COUNTIF(AA84,"よくある"))</f>
        <v/>
      </c>
      <c r="AN84" s="29">
        <f>IF($C84="","",COUNTIF(J84:P84,"見守り")+COUNTIF(Q84,"手を添える等が必要")+COUNTIF(S84,"ときどき失敗がある")+COUNTIF(T84,"偏食や時間がかかる")+COUNTIF(U84,"声かけでできる")+COUNTIF(V84,"声かけでできる")+COUNTIF(AA84,"ときどきある"))</f>
        <v/>
      </c>
      <c r="AO84" s="29">
        <f>IF($C84="","",IF(AM84&gt;=2,3,IF(OR(AM84=1,AN84&gt;=3),2,1)))</f>
        <v/>
      </c>
      <c r="AP84" s="27" t="n"/>
      <c r="AQ84" s="29">
        <f>IF($C84="","",COUNTIF(AB84,"非常に多い")+COUNTIF(AC84,"難しい")+COUNTIF(AD84,"不備が多い")+COUNTIF(AE84,"大きな差がある"))</f>
        <v/>
      </c>
      <c r="AR84" s="29">
        <f>IF($C84="","",IF(AQ84&gt;=3,3,IF(AQ84&gt;=2,2,1)))</f>
        <v/>
      </c>
      <c r="AS84" s="27" t="n"/>
    </row>
    <row r="85" ht="18" customHeight="1" s="20">
      <c r="A85" s="27" t="n"/>
      <c r="B85" s="27" t="n"/>
      <c r="C85" s="27" t="n"/>
      <c r="D85" s="27" t="n"/>
      <c r="E85" s="27" t="n"/>
      <c r="F85" s="27" t="n"/>
      <c r="G85" s="27" t="n"/>
      <c r="H85" s="28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8" t="n"/>
      <c r="S85" s="27" t="n"/>
      <c r="T85" s="27" t="n"/>
      <c r="U85" s="27" t="n"/>
      <c r="V85" s="27" t="n"/>
      <c r="W85" s="28" t="n"/>
      <c r="X85" s="27" t="n"/>
      <c r="Y85" s="28" t="n"/>
      <c r="Z85" s="28" t="n"/>
      <c r="AA85" s="27" t="n"/>
      <c r="AB85" s="27" t="n"/>
      <c r="AC85" s="27" t="n"/>
      <c r="AD85" s="27" t="n"/>
      <c r="AE85" s="27" t="n"/>
      <c r="AF85" s="27" t="n"/>
      <c r="AG85" s="27" t="n"/>
      <c r="AH85" s="28" t="n"/>
      <c r="AI85" s="27" t="n"/>
      <c r="AJ85" s="27" t="n"/>
      <c r="AK85" s="28" t="n"/>
      <c r="AL85" s="28" t="n"/>
      <c r="AM85" s="29">
        <f>IF($C85="","",COUNTIF(J85:P85,"要支援")+COUNTIF(Q85,"声かけでは変化なし")+COUNTIF(Q85,"支援を拒む・抵抗する")+COUNTIF(S85,"失敗が多い・援助が必要")+COUNTIF(T85,"偏食が強い・援助が必要")+COUNTIF(U85,"手伝いが必要")+COUNTIF(V85,"手伝いが必要")+COUNTIF(AA85,"よくある"))</f>
        <v/>
      </c>
      <c r="AN85" s="29">
        <f>IF($C85="","",COUNTIF(J85:P85,"見守り")+COUNTIF(Q85,"手を添える等が必要")+COUNTIF(S85,"ときどき失敗がある")+COUNTIF(T85,"偏食や時間がかかる")+COUNTIF(U85,"声かけでできる")+COUNTIF(V85,"声かけでできる")+COUNTIF(AA85,"ときどきある"))</f>
        <v/>
      </c>
      <c r="AO85" s="29">
        <f>IF($C85="","",IF(AM85&gt;=2,3,IF(OR(AM85=1,AN85&gt;=3),2,1)))</f>
        <v/>
      </c>
      <c r="AP85" s="27" t="n"/>
      <c r="AQ85" s="29">
        <f>IF($C85="","",COUNTIF(AB85,"非常に多い")+COUNTIF(AC85,"難しい")+COUNTIF(AD85,"不備が多い")+COUNTIF(AE85,"大きな差がある"))</f>
        <v/>
      </c>
      <c r="AR85" s="29">
        <f>IF($C85="","",IF(AQ85&gt;=3,3,IF(AQ85&gt;=2,2,1)))</f>
        <v/>
      </c>
      <c r="AS85" s="27" t="n"/>
    </row>
    <row r="86" ht="18" customHeight="1" s="20">
      <c r="A86" s="27" t="n"/>
      <c r="B86" s="27" t="n"/>
      <c r="C86" s="27" t="n"/>
      <c r="D86" s="27" t="n"/>
      <c r="E86" s="27" t="n"/>
      <c r="F86" s="27" t="n"/>
      <c r="G86" s="27" t="n"/>
      <c r="H86" s="28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8" t="n"/>
      <c r="S86" s="27" t="n"/>
      <c r="T86" s="27" t="n"/>
      <c r="U86" s="27" t="n"/>
      <c r="V86" s="27" t="n"/>
      <c r="W86" s="28" t="n"/>
      <c r="X86" s="27" t="n"/>
      <c r="Y86" s="28" t="n"/>
      <c r="Z86" s="28" t="n"/>
      <c r="AA86" s="27" t="n"/>
      <c r="AB86" s="27" t="n"/>
      <c r="AC86" s="27" t="n"/>
      <c r="AD86" s="27" t="n"/>
      <c r="AE86" s="27" t="n"/>
      <c r="AF86" s="27" t="n"/>
      <c r="AG86" s="27" t="n"/>
      <c r="AH86" s="28" t="n"/>
      <c r="AI86" s="27" t="n"/>
      <c r="AJ86" s="27" t="n"/>
      <c r="AK86" s="28" t="n"/>
      <c r="AL86" s="28" t="n"/>
      <c r="AM86" s="29">
        <f>IF($C86="","",COUNTIF(J86:P86,"要支援")+COUNTIF(Q86,"声かけでは変化なし")+COUNTIF(Q86,"支援を拒む・抵抗する")+COUNTIF(S86,"失敗が多い・援助が必要")+COUNTIF(T86,"偏食が強い・援助が必要")+COUNTIF(U86,"手伝いが必要")+COUNTIF(V86,"手伝いが必要")+COUNTIF(AA86,"よくある"))</f>
        <v/>
      </c>
      <c r="AN86" s="29">
        <f>IF($C86="","",COUNTIF(J86:P86,"見守り")+COUNTIF(Q86,"手を添える等が必要")+COUNTIF(S86,"ときどき失敗がある")+COUNTIF(T86,"偏食や時間がかかる")+COUNTIF(U86,"声かけでできる")+COUNTIF(V86,"声かけでできる")+COUNTIF(AA86,"ときどきある"))</f>
        <v/>
      </c>
      <c r="AO86" s="29">
        <f>IF($C86="","",IF(AM86&gt;=2,3,IF(OR(AM86=1,AN86&gt;=3),2,1)))</f>
        <v/>
      </c>
      <c r="AP86" s="27" t="n"/>
      <c r="AQ86" s="29">
        <f>IF($C86="","",COUNTIF(AB86,"非常に多い")+COUNTIF(AC86,"難しい")+COUNTIF(AD86,"不備が多い")+COUNTIF(AE86,"大きな差がある"))</f>
        <v/>
      </c>
      <c r="AR86" s="29">
        <f>IF($C86="","",IF(AQ86&gt;=3,3,IF(AQ86&gt;=2,2,1)))</f>
        <v/>
      </c>
      <c r="AS86" s="27" t="n"/>
    </row>
    <row r="87" ht="18" customHeight="1" s="20">
      <c r="A87" s="27" t="n"/>
      <c r="B87" s="27" t="n"/>
      <c r="C87" s="27" t="n"/>
      <c r="D87" s="27" t="n"/>
      <c r="E87" s="27" t="n"/>
      <c r="F87" s="27" t="n"/>
      <c r="G87" s="27" t="n"/>
      <c r="H87" s="28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8" t="n"/>
      <c r="S87" s="27" t="n"/>
      <c r="T87" s="27" t="n"/>
      <c r="U87" s="27" t="n"/>
      <c r="V87" s="27" t="n"/>
      <c r="W87" s="28" t="n"/>
      <c r="X87" s="27" t="n"/>
      <c r="Y87" s="28" t="n"/>
      <c r="Z87" s="28" t="n"/>
      <c r="AA87" s="27" t="n"/>
      <c r="AB87" s="27" t="n"/>
      <c r="AC87" s="27" t="n"/>
      <c r="AD87" s="27" t="n"/>
      <c r="AE87" s="27" t="n"/>
      <c r="AF87" s="27" t="n"/>
      <c r="AG87" s="27" t="n"/>
      <c r="AH87" s="28" t="n"/>
      <c r="AI87" s="27" t="n"/>
      <c r="AJ87" s="27" t="n"/>
      <c r="AK87" s="28" t="n"/>
      <c r="AL87" s="28" t="n"/>
      <c r="AM87" s="29">
        <f>IF($C87="","",COUNTIF(J87:P87,"要支援")+COUNTIF(Q87,"声かけでは変化なし")+COUNTIF(Q87,"支援を拒む・抵抗する")+COUNTIF(S87,"失敗が多い・援助が必要")+COUNTIF(T87,"偏食が強い・援助が必要")+COUNTIF(U87,"手伝いが必要")+COUNTIF(V87,"手伝いが必要")+COUNTIF(AA87,"よくある"))</f>
        <v/>
      </c>
      <c r="AN87" s="29">
        <f>IF($C87="","",COUNTIF(J87:P87,"見守り")+COUNTIF(Q87,"手を添える等が必要")+COUNTIF(S87,"ときどき失敗がある")+COUNTIF(T87,"偏食や時間がかかる")+COUNTIF(U87,"声かけでできる")+COUNTIF(V87,"声かけでできる")+COUNTIF(AA87,"ときどきある"))</f>
        <v/>
      </c>
      <c r="AO87" s="29">
        <f>IF($C87="","",IF(AM87&gt;=2,3,IF(OR(AM87=1,AN87&gt;=3),2,1)))</f>
        <v/>
      </c>
      <c r="AP87" s="27" t="n"/>
      <c r="AQ87" s="29">
        <f>IF($C87="","",COUNTIF(AB87,"非常に多い")+COUNTIF(AC87,"難しい")+COUNTIF(AD87,"不備が多い")+COUNTIF(AE87,"大きな差がある"))</f>
        <v/>
      </c>
      <c r="AR87" s="29">
        <f>IF($C87="","",IF(AQ87&gt;=3,3,IF(AQ87&gt;=2,2,1)))</f>
        <v/>
      </c>
      <c r="AS87" s="27" t="n"/>
    </row>
    <row r="88" ht="18" customHeight="1" s="20">
      <c r="A88" s="27" t="n"/>
      <c r="B88" s="27" t="n"/>
      <c r="C88" s="27" t="n"/>
      <c r="D88" s="27" t="n"/>
      <c r="E88" s="27" t="n"/>
      <c r="F88" s="27" t="n"/>
      <c r="G88" s="27" t="n"/>
      <c r="H88" s="28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8" t="n"/>
      <c r="S88" s="27" t="n"/>
      <c r="T88" s="27" t="n"/>
      <c r="U88" s="27" t="n"/>
      <c r="V88" s="27" t="n"/>
      <c r="W88" s="28" t="n"/>
      <c r="X88" s="27" t="n"/>
      <c r="Y88" s="28" t="n"/>
      <c r="Z88" s="28" t="n"/>
      <c r="AA88" s="27" t="n"/>
      <c r="AB88" s="27" t="n"/>
      <c r="AC88" s="27" t="n"/>
      <c r="AD88" s="27" t="n"/>
      <c r="AE88" s="27" t="n"/>
      <c r="AF88" s="27" t="n"/>
      <c r="AG88" s="27" t="n"/>
      <c r="AH88" s="28" t="n"/>
      <c r="AI88" s="27" t="n"/>
      <c r="AJ88" s="27" t="n"/>
      <c r="AK88" s="28" t="n"/>
      <c r="AL88" s="28" t="n"/>
      <c r="AM88" s="29">
        <f>IF($C88="","",COUNTIF(J88:P88,"要支援")+COUNTIF(Q88,"声かけでは変化なし")+COUNTIF(Q88,"支援を拒む・抵抗する")+COUNTIF(S88,"失敗が多い・援助が必要")+COUNTIF(T88,"偏食が強い・援助が必要")+COUNTIF(U88,"手伝いが必要")+COUNTIF(V88,"手伝いが必要")+COUNTIF(AA88,"よくある"))</f>
        <v/>
      </c>
      <c r="AN88" s="29">
        <f>IF($C88="","",COUNTIF(J88:P88,"見守り")+COUNTIF(Q88,"手を添える等が必要")+COUNTIF(S88,"ときどき失敗がある")+COUNTIF(T88,"偏食や時間がかかる")+COUNTIF(U88,"声かけでできる")+COUNTIF(V88,"声かけでできる")+COUNTIF(AA88,"ときどきある"))</f>
        <v/>
      </c>
      <c r="AO88" s="29">
        <f>IF($C88="","",IF(AM88&gt;=2,3,IF(OR(AM88=1,AN88&gt;=3),2,1)))</f>
        <v/>
      </c>
      <c r="AP88" s="27" t="n"/>
      <c r="AQ88" s="29">
        <f>IF($C88="","",COUNTIF(AB88,"非常に多い")+COUNTIF(AC88,"難しい")+COUNTIF(AD88,"不備が多い")+COUNTIF(AE88,"大きな差がある"))</f>
        <v/>
      </c>
      <c r="AR88" s="29">
        <f>IF($C88="","",IF(AQ88&gt;=3,3,IF(AQ88&gt;=2,2,1)))</f>
        <v/>
      </c>
      <c r="AS88" s="27" t="n"/>
    </row>
    <row r="89" ht="18" customHeight="1" s="20">
      <c r="A89" s="27" t="n"/>
      <c r="B89" s="27" t="n"/>
      <c r="C89" s="27" t="n"/>
      <c r="D89" s="27" t="n"/>
      <c r="E89" s="27" t="n"/>
      <c r="F89" s="27" t="n"/>
      <c r="G89" s="27" t="n"/>
      <c r="H89" s="28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8" t="n"/>
      <c r="S89" s="27" t="n"/>
      <c r="T89" s="27" t="n"/>
      <c r="U89" s="27" t="n"/>
      <c r="V89" s="27" t="n"/>
      <c r="W89" s="28" t="n"/>
      <c r="X89" s="27" t="n"/>
      <c r="Y89" s="28" t="n"/>
      <c r="Z89" s="28" t="n"/>
      <c r="AA89" s="27" t="n"/>
      <c r="AB89" s="27" t="n"/>
      <c r="AC89" s="27" t="n"/>
      <c r="AD89" s="27" t="n"/>
      <c r="AE89" s="27" t="n"/>
      <c r="AF89" s="27" t="n"/>
      <c r="AG89" s="27" t="n"/>
      <c r="AH89" s="28" t="n"/>
      <c r="AI89" s="27" t="n"/>
      <c r="AJ89" s="27" t="n"/>
      <c r="AK89" s="28" t="n"/>
      <c r="AL89" s="28" t="n"/>
      <c r="AM89" s="29">
        <f>IF($C89="","",COUNTIF(J89:P89,"要支援")+COUNTIF(Q89,"声かけでは変化なし")+COUNTIF(Q89,"支援を拒む・抵抗する")+COUNTIF(S89,"失敗が多い・援助が必要")+COUNTIF(T89,"偏食が強い・援助が必要")+COUNTIF(U89,"手伝いが必要")+COUNTIF(V89,"手伝いが必要")+COUNTIF(AA89,"よくある"))</f>
        <v/>
      </c>
      <c r="AN89" s="29">
        <f>IF($C89="","",COUNTIF(J89:P89,"見守り")+COUNTIF(Q89,"手を添える等が必要")+COUNTIF(S89,"ときどき失敗がある")+COUNTIF(T89,"偏食や時間がかかる")+COUNTIF(U89,"声かけでできる")+COUNTIF(V89,"声かけでできる")+COUNTIF(AA89,"ときどきある"))</f>
        <v/>
      </c>
      <c r="AO89" s="29">
        <f>IF($C89="","",IF(AM89&gt;=2,3,IF(OR(AM89=1,AN89&gt;=3),2,1)))</f>
        <v/>
      </c>
      <c r="AP89" s="27" t="n"/>
      <c r="AQ89" s="29">
        <f>IF($C89="","",COUNTIF(AB89,"非常に多い")+COUNTIF(AC89,"難しい")+COUNTIF(AD89,"不備が多い")+COUNTIF(AE89,"大きな差がある"))</f>
        <v/>
      </c>
      <c r="AR89" s="29">
        <f>IF($C89="","",IF(AQ89&gt;=3,3,IF(AQ89&gt;=2,2,1)))</f>
        <v/>
      </c>
      <c r="AS89" s="27" t="n"/>
    </row>
    <row r="90" ht="18" customHeight="1" s="20">
      <c r="A90" s="27" t="n"/>
      <c r="B90" s="27" t="n"/>
      <c r="C90" s="27" t="n"/>
      <c r="D90" s="27" t="n"/>
      <c r="E90" s="27" t="n"/>
      <c r="F90" s="27" t="n"/>
      <c r="G90" s="27" t="n"/>
      <c r="H90" s="28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8" t="n"/>
      <c r="S90" s="27" t="n"/>
      <c r="T90" s="27" t="n"/>
      <c r="U90" s="27" t="n"/>
      <c r="V90" s="27" t="n"/>
      <c r="W90" s="28" t="n"/>
      <c r="X90" s="27" t="n"/>
      <c r="Y90" s="28" t="n"/>
      <c r="Z90" s="28" t="n"/>
      <c r="AA90" s="27" t="n"/>
      <c r="AB90" s="27" t="n"/>
      <c r="AC90" s="27" t="n"/>
      <c r="AD90" s="27" t="n"/>
      <c r="AE90" s="27" t="n"/>
      <c r="AF90" s="27" t="n"/>
      <c r="AG90" s="27" t="n"/>
      <c r="AH90" s="28" t="n"/>
      <c r="AI90" s="27" t="n"/>
      <c r="AJ90" s="27" t="n"/>
      <c r="AK90" s="28" t="n"/>
      <c r="AL90" s="28" t="n"/>
      <c r="AM90" s="29">
        <f>IF($C90="","",COUNTIF(J90:P90,"要支援")+COUNTIF(Q90,"声かけでは変化なし")+COUNTIF(Q90,"支援を拒む・抵抗する")+COUNTIF(S90,"失敗が多い・援助が必要")+COUNTIF(T90,"偏食が強い・援助が必要")+COUNTIF(U90,"手伝いが必要")+COUNTIF(V90,"手伝いが必要")+COUNTIF(AA90,"よくある"))</f>
        <v/>
      </c>
      <c r="AN90" s="29">
        <f>IF($C90="","",COUNTIF(J90:P90,"見守り")+COUNTIF(Q90,"手を添える等が必要")+COUNTIF(S90,"ときどき失敗がある")+COUNTIF(T90,"偏食や時間がかかる")+COUNTIF(U90,"声かけでできる")+COUNTIF(V90,"声かけでできる")+COUNTIF(AA90,"ときどきある"))</f>
        <v/>
      </c>
      <c r="AO90" s="29">
        <f>IF($C90="","",IF(AM90&gt;=2,3,IF(OR(AM90=1,AN90&gt;=3),2,1)))</f>
        <v/>
      </c>
      <c r="AP90" s="27" t="n"/>
      <c r="AQ90" s="29">
        <f>IF($C90="","",COUNTIF(AB90,"非常に多い")+COUNTIF(AC90,"難しい")+COUNTIF(AD90,"不備が多い")+COUNTIF(AE90,"大きな差がある"))</f>
        <v/>
      </c>
      <c r="AR90" s="29">
        <f>IF($C90="","",IF(AQ90&gt;=3,3,IF(AQ90&gt;=2,2,1)))</f>
        <v/>
      </c>
      <c r="AS90" s="27" t="n"/>
    </row>
    <row r="91" ht="18" customHeight="1" s="20">
      <c r="A91" s="27" t="n"/>
      <c r="B91" s="27" t="n"/>
      <c r="C91" s="27" t="n"/>
      <c r="D91" s="27" t="n"/>
      <c r="E91" s="27" t="n"/>
      <c r="F91" s="27" t="n"/>
      <c r="G91" s="27" t="n"/>
      <c r="H91" s="28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8" t="n"/>
      <c r="S91" s="27" t="n"/>
      <c r="T91" s="27" t="n"/>
      <c r="U91" s="27" t="n"/>
      <c r="V91" s="27" t="n"/>
      <c r="W91" s="28" t="n"/>
      <c r="X91" s="27" t="n"/>
      <c r="Y91" s="28" t="n"/>
      <c r="Z91" s="28" t="n"/>
      <c r="AA91" s="27" t="n"/>
      <c r="AB91" s="27" t="n"/>
      <c r="AC91" s="27" t="n"/>
      <c r="AD91" s="27" t="n"/>
      <c r="AE91" s="27" t="n"/>
      <c r="AF91" s="27" t="n"/>
      <c r="AG91" s="27" t="n"/>
      <c r="AH91" s="28" t="n"/>
      <c r="AI91" s="27" t="n"/>
      <c r="AJ91" s="27" t="n"/>
      <c r="AK91" s="28" t="n"/>
      <c r="AL91" s="28" t="n"/>
      <c r="AM91" s="29">
        <f>IF($C91="","",COUNTIF(J91:P91,"要支援")+COUNTIF(Q91,"声かけでは変化なし")+COUNTIF(Q91,"支援を拒む・抵抗する")+COUNTIF(S91,"失敗が多い・援助が必要")+COUNTIF(T91,"偏食が強い・援助が必要")+COUNTIF(U91,"手伝いが必要")+COUNTIF(V91,"手伝いが必要")+COUNTIF(AA91,"よくある"))</f>
        <v/>
      </c>
      <c r="AN91" s="29">
        <f>IF($C91="","",COUNTIF(J91:P91,"見守り")+COUNTIF(Q91,"手を添える等が必要")+COUNTIF(S91,"ときどき失敗がある")+COUNTIF(T91,"偏食や時間がかかる")+COUNTIF(U91,"声かけでできる")+COUNTIF(V91,"声かけでできる")+COUNTIF(AA91,"ときどきある"))</f>
        <v/>
      </c>
      <c r="AO91" s="29">
        <f>IF($C91="","",IF(AM91&gt;=2,3,IF(OR(AM91=1,AN91&gt;=3),2,1)))</f>
        <v/>
      </c>
      <c r="AP91" s="27" t="n"/>
      <c r="AQ91" s="29">
        <f>IF($C91="","",COUNTIF(AB91,"非常に多い")+COUNTIF(AC91,"難しい")+COUNTIF(AD91,"不備が多い")+COUNTIF(AE91,"大きな差がある"))</f>
        <v/>
      </c>
      <c r="AR91" s="29">
        <f>IF($C91="","",IF(AQ91&gt;=3,3,IF(AQ91&gt;=2,2,1)))</f>
        <v/>
      </c>
      <c r="AS91" s="27" t="n"/>
    </row>
    <row r="92" ht="18" customHeight="1" s="20">
      <c r="A92" s="27" t="n"/>
      <c r="B92" s="27" t="n"/>
      <c r="C92" s="27" t="n"/>
      <c r="D92" s="27" t="n"/>
      <c r="E92" s="27" t="n"/>
      <c r="F92" s="27" t="n"/>
      <c r="G92" s="27" t="n"/>
      <c r="H92" s="28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8" t="n"/>
      <c r="S92" s="27" t="n"/>
      <c r="T92" s="27" t="n"/>
      <c r="U92" s="27" t="n"/>
      <c r="V92" s="27" t="n"/>
      <c r="W92" s="28" t="n"/>
      <c r="X92" s="27" t="n"/>
      <c r="Y92" s="28" t="n"/>
      <c r="Z92" s="28" t="n"/>
      <c r="AA92" s="27" t="n"/>
      <c r="AB92" s="27" t="n"/>
      <c r="AC92" s="27" t="n"/>
      <c r="AD92" s="27" t="n"/>
      <c r="AE92" s="27" t="n"/>
      <c r="AF92" s="27" t="n"/>
      <c r="AG92" s="27" t="n"/>
      <c r="AH92" s="28" t="n"/>
      <c r="AI92" s="27" t="n"/>
      <c r="AJ92" s="27" t="n"/>
      <c r="AK92" s="28" t="n"/>
      <c r="AL92" s="28" t="n"/>
      <c r="AM92" s="29">
        <f>IF($C92="","",COUNTIF(J92:P92,"要支援")+COUNTIF(Q92,"声かけでは変化なし")+COUNTIF(Q92,"支援を拒む・抵抗する")+COUNTIF(S92,"失敗が多い・援助が必要")+COUNTIF(T92,"偏食が強い・援助が必要")+COUNTIF(U92,"手伝いが必要")+COUNTIF(V92,"手伝いが必要")+COUNTIF(AA92,"よくある"))</f>
        <v/>
      </c>
      <c r="AN92" s="29">
        <f>IF($C92="","",COUNTIF(J92:P92,"見守り")+COUNTIF(Q92,"手を添える等が必要")+COUNTIF(S92,"ときどき失敗がある")+COUNTIF(T92,"偏食や時間がかかる")+COUNTIF(U92,"声かけでできる")+COUNTIF(V92,"声かけでできる")+COUNTIF(AA92,"ときどきある"))</f>
        <v/>
      </c>
      <c r="AO92" s="29">
        <f>IF($C92="","",IF(AM92&gt;=2,3,IF(OR(AM92=1,AN92&gt;=3),2,1)))</f>
        <v/>
      </c>
      <c r="AP92" s="27" t="n"/>
      <c r="AQ92" s="29">
        <f>IF($C92="","",COUNTIF(AB92,"非常に多い")+COUNTIF(AC92,"難しい")+COUNTIF(AD92,"不備が多い")+COUNTIF(AE92,"大きな差がある"))</f>
        <v/>
      </c>
      <c r="AR92" s="29">
        <f>IF($C92="","",IF(AQ92&gt;=3,3,IF(AQ92&gt;=2,2,1)))</f>
        <v/>
      </c>
      <c r="AS92" s="27" t="n"/>
    </row>
    <row r="93" ht="18" customHeight="1" s="20">
      <c r="A93" s="27" t="n"/>
      <c r="B93" s="27" t="n"/>
      <c r="C93" s="27" t="n"/>
      <c r="D93" s="27" t="n"/>
      <c r="E93" s="27" t="n"/>
      <c r="F93" s="27" t="n"/>
      <c r="G93" s="27" t="n"/>
      <c r="H93" s="28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8" t="n"/>
      <c r="S93" s="27" t="n"/>
      <c r="T93" s="27" t="n"/>
      <c r="U93" s="27" t="n"/>
      <c r="V93" s="27" t="n"/>
      <c r="W93" s="28" t="n"/>
      <c r="X93" s="27" t="n"/>
      <c r="Y93" s="28" t="n"/>
      <c r="Z93" s="28" t="n"/>
      <c r="AA93" s="27" t="n"/>
      <c r="AB93" s="27" t="n"/>
      <c r="AC93" s="27" t="n"/>
      <c r="AD93" s="27" t="n"/>
      <c r="AE93" s="27" t="n"/>
      <c r="AF93" s="27" t="n"/>
      <c r="AG93" s="27" t="n"/>
      <c r="AH93" s="28" t="n"/>
      <c r="AI93" s="27" t="n"/>
      <c r="AJ93" s="27" t="n"/>
      <c r="AK93" s="28" t="n"/>
      <c r="AL93" s="28" t="n"/>
      <c r="AM93" s="29">
        <f>IF($C93="","",COUNTIF(J93:P93,"要支援")+COUNTIF(Q93,"声かけでは変化なし")+COUNTIF(Q93,"支援を拒む・抵抗する")+COUNTIF(S93,"失敗が多い・援助が必要")+COUNTIF(T93,"偏食が強い・援助が必要")+COUNTIF(U93,"手伝いが必要")+COUNTIF(V93,"手伝いが必要")+COUNTIF(AA93,"よくある"))</f>
        <v/>
      </c>
      <c r="AN93" s="29">
        <f>IF($C93="","",COUNTIF(J93:P93,"見守り")+COUNTIF(Q93,"手を添える等が必要")+COUNTIF(S93,"ときどき失敗がある")+COUNTIF(T93,"偏食や時間がかかる")+COUNTIF(U93,"声かけでできる")+COUNTIF(V93,"声かけでできる")+COUNTIF(AA93,"ときどきある"))</f>
        <v/>
      </c>
      <c r="AO93" s="29">
        <f>IF($C93="","",IF(AM93&gt;=2,3,IF(OR(AM93=1,AN93&gt;=3),2,1)))</f>
        <v/>
      </c>
      <c r="AP93" s="27" t="n"/>
      <c r="AQ93" s="29">
        <f>IF($C93="","",COUNTIF(AB93,"非常に多い")+COUNTIF(AC93,"難しい")+COUNTIF(AD93,"不備が多い")+COUNTIF(AE93,"大きな差がある"))</f>
        <v/>
      </c>
      <c r="AR93" s="29">
        <f>IF($C93="","",IF(AQ93&gt;=3,3,IF(AQ93&gt;=2,2,1)))</f>
        <v/>
      </c>
      <c r="AS93" s="27" t="n"/>
    </row>
    <row r="94" ht="18" customHeight="1" s="20">
      <c r="A94" s="27" t="n"/>
      <c r="B94" s="27" t="n"/>
      <c r="C94" s="27" t="n"/>
      <c r="D94" s="27" t="n"/>
      <c r="E94" s="27" t="n"/>
      <c r="F94" s="27" t="n"/>
      <c r="G94" s="27" t="n"/>
      <c r="H94" s="28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8" t="n"/>
      <c r="S94" s="27" t="n"/>
      <c r="T94" s="27" t="n"/>
      <c r="U94" s="27" t="n"/>
      <c r="V94" s="27" t="n"/>
      <c r="W94" s="28" t="n"/>
      <c r="X94" s="27" t="n"/>
      <c r="Y94" s="28" t="n"/>
      <c r="Z94" s="28" t="n"/>
      <c r="AA94" s="27" t="n"/>
      <c r="AB94" s="27" t="n"/>
      <c r="AC94" s="27" t="n"/>
      <c r="AD94" s="27" t="n"/>
      <c r="AE94" s="27" t="n"/>
      <c r="AF94" s="27" t="n"/>
      <c r="AG94" s="27" t="n"/>
      <c r="AH94" s="28" t="n"/>
      <c r="AI94" s="27" t="n"/>
      <c r="AJ94" s="27" t="n"/>
      <c r="AK94" s="28" t="n"/>
      <c r="AL94" s="28" t="n"/>
      <c r="AM94" s="29">
        <f>IF($C94="","",COUNTIF(J94:P94,"要支援")+COUNTIF(Q94,"声かけでは変化なし")+COUNTIF(Q94,"支援を拒む・抵抗する")+COUNTIF(S94,"失敗が多い・援助が必要")+COUNTIF(T94,"偏食が強い・援助が必要")+COUNTIF(U94,"手伝いが必要")+COUNTIF(V94,"手伝いが必要")+COUNTIF(AA94,"よくある"))</f>
        <v/>
      </c>
      <c r="AN94" s="29">
        <f>IF($C94="","",COUNTIF(J94:P94,"見守り")+COUNTIF(Q94,"手を添える等が必要")+COUNTIF(S94,"ときどき失敗がある")+COUNTIF(T94,"偏食や時間がかかる")+COUNTIF(U94,"声かけでできる")+COUNTIF(V94,"声かけでできる")+COUNTIF(AA94,"ときどきある"))</f>
        <v/>
      </c>
      <c r="AO94" s="29">
        <f>IF($C94="","",IF(AM94&gt;=2,3,IF(OR(AM94=1,AN94&gt;=3),2,1)))</f>
        <v/>
      </c>
      <c r="AP94" s="27" t="n"/>
      <c r="AQ94" s="29">
        <f>IF($C94="","",COUNTIF(AB94,"非常に多い")+COUNTIF(AC94,"難しい")+COUNTIF(AD94,"不備が多い")+COUNTIF(AE94,"大きな差がある"))</f>
        <v/>
      </c>
      <c r="AR94" s="29">
        <f>IF($C94="","",IF(AQ94&gt;=3,3,IF(AQ94&gt;=2,2,1)))</f>
        <v/>
      </c>
      <c r="AS94" s="27" t="n"/>
    </row>
    <row r="95" ht="18" customHeight="1" s="20">
      <c r="A95" s="27" t="n"/>
      <c r="B95" s="27" t="n"/>
      <c r="C95" s="27" t="n"/>
      <c r="D95" s="27" t="n"/>
      <c r="E95" s="27" t="n"/>
      <c r="F95" s="27" t="n"/>
      <c r="G95" s="27" t="n"/>
      <c r="H95" s="28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8" t="n"/>
      <c r="S95" s="27" t="n"/>
      <c r="T95" s="27" t="n"/>
      <c r="U95" s="27" t="n"/>
      <c r="V95" s="27" t="n"/>
      <c r="W95" s="28" t="n"/>
      <c r="X95" s="27" t="n"/>
      <c r="Y95" s="28" t="n"/>
      <c r="Z95" s="28" t="n"/>
      <c r="AA95" s="27" t="n"/>
      <c r="AB95" s="27" t="n"/>
      <c r="AC95" s="27" t="n"/>
      <c r="AD95" s="27" t="n"/>
      <c r="AE95" s="27" t="n"/>
      <c r="AF95" s="27" t="n"/>
      <c r="AG95" s="27" t="n"/>
      <c r="AH95" s="28" t="n"/>
      <c r="AI95" s="27" t="n"/>
      <c r="AJ95" s="27" t="n"/>
      <c r="AK95" s="28" t="n"/>
      <c r="AL95" s="28" t="n"/>
      <c r="AM95" s="29">
        <f>IF($C95="","",COUNTIF(J95:P95,"要支援")+COUNTIF(Q95,"声かけでは変化なし")+COUNTIF(Q95,"支援を拒む・抵抗する")+COUNTIF(S95,"失敗が多い・援助が必要")+COUNTIF(T95,"偏食が強い・援助が必要")+COUNTIF(U95,"手伝いが必要")+COUNTIF(V95,"手伝いが必要")+COUNTIF(AA95,"よくある"))</f>
        <v/>
      </c>
      <c r="AN95" s="29">
        <f>IF($C95="","",COUNTIF(J95:P95,"見守り")+COUNTIF(Q95,"手を添える等が必要")+COUNTIF(S95,"ときどき失敗がある")+COUNTIF(T95,"偏食や時間がかかる")+COUNTIF(U95,"声かけでできる")+COUNTIF(V95,"声かけでできる")+COUNTIF(AA95,"ときどきある"))</f>
        <v/>
      </c>
      <c r="AO95" s="29">
        <f>IF($C95="","",IF(AM95&gt;=2,3,IF(OR(AM95=1,AN95&gt;=3),2,1)))</f>
        <v/>
      </c>
      <c r="AP95" s="27" t="n"/>
      <c r="AQ95" s="29">
        <f>IF($C95="","",COUNTIF(AB95,"非常に多い")+COUNTIF(AC95,"難しい")+COUNTIF(AD95,"不備が多い")+COUNTIF(AE95,"大きな差がある"))</f>
        <v/>
      </c>
      <c r="AR95" s="29">
        <f>IF($C95="","",IF(AQ95&gt;=3,3,IF(AQ95&gt;=2,2,1)))</f>
        <v/>
      </c>
      <c r="AS95" s="27" t="n"/>
    </row>
    <row r="96" ht="18" customHeight="1" s="20">
      <c r="A96" s="27" t="n"/>
      <c r="B96" s="27" t="n"/>
      <c r="C96" s="27" t="n"/>
      <c r="D96" s="27" t="n"/>
      <c r="E96" s="27" t="n"/>
      <c r="F96" s="27" t="n"/>
      <c r="G96" s="27" t="n"/>
      <c r="H96" s="28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8" t="n"/>
      <c r="S96" s="27" t="n"/>
      <c r="T96" s="27" t="n"/>
      <c r="U96" s="27" t="n"/>
      <c r="V96" s="27" t="n"/>
      <c r="W96" s="28" t="n"/>
      <c r="X96" s="27" t="n"/>
      <c r="Y96" s="28" t="n"/>
      <c r="Z96" s="28" t="n"/>
      <c r="AA96" s="27" t="n"/>
      <c r="AB96" s="27" t="n"/>
      <c r="AC96" s="27" t="n"/>
      <c r="AD96" s="27" t="n"/>
      <c r="AE96" s="27" t="n"/>
      <c r="AF96" s="27" t="n"/>
      <c r="AG96" s="27" t="n"/>
      <c r="AH96" s="28" t="n"/>
      <c r="AI96" s="27" t="n"/>
      <c r="AJ96" s="27" t="n"/>
      <c r="AK96" s="28" t="n"/>
      <c r="AL96" s="28" t="n"/>
      <c r="AM96" s="29">
        <f>IF($C96="","",COUNTIF(J96:P96,"要支援")+COUNTIF(Q96,"声かけでは変化なし")+COUNTIF(Q96,"支援を拒む・抵抗する")+COUNTIF(S96,"失敗が多い・援助が必要")+COUNTIF(T96,"偏食が強い・援助が必要")+COUNTIF(U96,"手伝いが必要")+COUNTIF(V96,"手伝いが必要")+COUNTIF(AA96,"よくある"))</f>
        <v/>
      </c>
      <c r="AN96" s="29">
        <f>IF($C96="","",COUNTIF(J96:P96,"見守り")+COUNTIF(Q96,"手を添える等が必要")+COUNTIF(S96,"ときどき失敗がある")+COUNTIF(T96,"偏食や時間がかかる")+COUNTIF(U96,"声かけでできる")+COUNTIF(V96,"声かけでできる")+COUNTIF(AA96,"ときどきある"))</f>
        <v/>
      </c>
      <c r="AO96" s="29">
        <f>IF($C96="","",IF(AM96&gt;=2,3,IF(OR(AM96=1,AN96&gt;=3),2,1)))</f>
        <v/>
      </c>
      <c r="AP96" s="27" t="n"/>
      <c r="AQ96" s="29">
        <f>IF($C96="","",COUNTIF(AB96,"非常に多い")+COUNTIF(AC96,"難しい")+COUNTIF(AD96,"不備が多い")+COUNTIF(AE96,"大きな差がある"))</f>
        <v/>
      </c>
      <c r="AR96" s="29">
        <f>IF($C96="","",IF(AQ96&gt;=3,3,IF(AQ96&gt;=2,2,1)))</f>
        <v/>
      </c>
      <c r="AS96" s="27" t="n"/>
    </row>
    <row r="97" ht="18" customHeight="1" s="20">
      <c r="A97" s="27" t="n"/>
      <c r="B97" s="27" t="n"/>
      <c r="C97" s="27" t="n"/>
      <c r="D97" s="27" t="n"/>
      <c r="E97" s="27" t="n"/>
      <c r="F97" s="27" t="n"/>
      <c r="G97" s="27" t="n"/>
      <c r="H97" s="28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8" t="n"/>
      <c r="S97" s="27" t="n"/>
      <c r="T97" s="27" t="n"/>
      <c r="U97" s="27" t="n"/>
      <c r="V97" s="27" t="n"/>
      <c r="W97" s="28" t="n"/>
      <c r="X97" s="27" t="n"/>
      <c r="Y97" s="28" t="n"/>
      <c r="Z97" s="28" t="n"/>
      <c r="AA97" s="27" t="n"/>
      <c r="AB97" s="27" t="n"/>
      <c r="AC97" s="27" t="n"/>
      <c r="AD97" s="27" t="n"/>
      <c r="AE97" s="27" t="n"/>
      <c r="AF97" s="27" t="n"/>
      <c r="AG97" s="27" t="n"/>
      <c r="AH97" s="28" t="n"/>
      <c r="AI97" s="27" t="n"/>
      <c r="AJ97" s="27" t="n"/>
      <c r="AK97" s="28" t="n"/>
      <c r="AL97" s="28" t="n"/>
      <c r="AM97" s="29">
        <f>IF($C97="","",COUNTIF(J97:P97,"要支援")+COUNTIF(Q97,"声かけでは変化なし")+COUNTIF(Q97,"支援を拒む・抵抗する")+COUNTIF(S97,"失敗が多い・援助が必要")+COUNTIF(T97,"偏食が強い・援助が必要")+COUNTIF(U97,"手伝いが必要")+COUNTIF(V97,"手伝いが必要")+COUNTIF(AA97,"よくある"))</f>
        <v/>
      </c>
      <c r="AN97" s="29">
        <f>IF($C97="","",COUNTIF(J97:P97,"見守り")+COUNTIF(Q97,"手を添える等が必要")+COUNTIF(S97,"ときどき失敗がある")+COUNTIF(T97,"偏食や時間がかかる")+COUNTIF(U97,"声かけでできる")+COUNTIF(V97,"声かけでできる")+COUNTIF(AA97,"ときどきある"))</f>
        <v/>
      </c>
      <c r="AO97" s="29">
        <f>IF($C97="","",IF(AM97&gt;=2,3,IF(OR(AM97=1,AN97&gt;=3),2,1)))</f>
        <v/>
      </c>
      <c r="AP97" s="27" t="n"/>
      <c r="AQ97" s="29">
        <f>IF($C97="","",COUNTIF(AB97,"非常に多い")+COUNTIF(AC97,"難しい")+COUNTIF(AD97,"不備が多い")+COUNTIF(AE97,"大きな差がある"))</f>
        <v/>
      </c>
      <c r="AR97" s="29">
        <f>IF($C97="","",IF(AQ97&gt;=3,3,IF(AQ97&gt;=2,2,1)))</f>
        <v/>
      </c>
      <c r="AS97" s="27" t="n"/>
    </row>
    <row r="98" ht="18" customHeight="1" s="20">
      <c r="A98" s="27" t="n"/>
      <c r="B98" s="27" t="n"/>
      <c r="C98" s="27" t="n"/>
      <c r="D98" s="27" t="n"/>
      <c r="E98" s="27" t="n"/>
      <c r="F98" s="27" t="n"/>
      <c r="G98" s="27" t="n"/>
      <c r="H98" s="28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8" t="n"/>
      <c r="S98" s="27" t="n"/>
      <c r="T98" s="27" t="n"/>
      <c r="U98" s="27" t="n"/>
      <c r="V98" s="27" t="n"/>
      <c r="W98" s="28" t="n"/>
      <c r="X98" s="27" t="n"/>
      <c r="Y98" s="28" t="n"/>
      <c r="Z98" s="28" t="n"/>
      <c r="AA98" s="27" t="n"/>
      <c r="AB98" s="27" t="n"/>
      <c r="AC98" s="27" t="n"/>
      <c r="AD98" s="27" t="n"/>
      <c r="AE98" s="27" t="n"/>
      <c r="AF98" s="27" t="n"/>
      <c r="AG98" s="27" t="n"/>
      <c r="AH98" s="28" t="n"/>
      <c r="AI98" s="27" t="n"/>
      <c r="AJ98" s="27" t="n"/>
      <c r="AK98" s="28" t="n"/>
      <c r="AL98" s="28" t="n"/>
      <c r="AM98" s="29">
        <f>IF($C98="","",COUNTIF(J98:P98,"要支援")+COUNTIF(Q98,"声かけでは変化なし")+COUNTIF(Q98,"支援を拒む・抵抗する")+COUNTIF(S98,"失敗が多い・援助が必要")+COUNTIF(T98,"偏食が強い・援助が必要")+COUNTIF(U98,"手伝いが必要")+COUNTIF(V98,"手伝いが必要")+COUNTIF(AA98,"よくある"))</f>
        <v/>
      </c>
      <c r="AN98" s="29">
        <f>IF($C98="","",COUNTIF(J98:P98,"見守り")+COUNTIF(Q98,"手を添える等が必要")+COUNTIF(S98,"ときどき失敗がある")+COUNTIF(T98,"偏食や時間がかかる")+COUNTIF(U98,"声かけでできる")+COUNTIF(V98,"声かけでできる")+COUNTIF(AA98,"ときどきある"))</f>
        <v/>
      </c>
      <c r="AO98" s="29">
        <f>IF($C98="","",IF(AM98&gt;=2,3,IF(OR(AM98=1,AN98&gt;=3),2,1)))</f>
        <v/>
      </c>
      <c r="AP98" s="27" t="n"/>
      <c r="AQ98" s="29">
        <f>IF($C98="","",COUNTIF(AB98,"非常に多い")+COUNTIF(AC98,"難しい")+COUNTIF(AD98,"不備が多い")+COUNTIF(AE98,"大きな差がある"))</f>
        <v/>
      </c>
      <c r="AR98" s="29">
        <f>IF($C98="","",IF(AQ98&gt;=3,3,IF(AQ98&gt;=2,2,1)))</f>
        <v/>
      </c>
      <c r="AS98" s="27" t="n"/>
    </row>
    <row r="99" ht="18" customHeight="1" s="20">
      <c r="A99" s="27" t="n"/>
      <c r="B99" s="27" t="n"/>
      <c r="C99" s="27" t="n"/>
      <c r="D99" s="27" t="n"/>
      <c r="E99" s="27" t="n"/>
      <c r="F99" s="27" t="n"/>
      <c r="G99" s="27" t="n"/>
      <c r="H99" s="28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8" t="n"/>
      <c r="S99" s="27" t="n"/>
      <c r="T99" s="27" t="n"/>
      <c r="U99" s="27" t="n"/>
      <c r="V99" s="27" t="n"/>
      <c r="W99" s="28" t="n"/>
      <c r="X99" s="27" t="n"/>
      <c r="Y99" s="28" t="n"/>
      <c r="Z99" s="28" t="n"/>
      <c r="AA99" s="27" t="n"/>
      <c r="AB99" s="27" t="n"/>
      <c r="AC99" s="27" t="n"/>
      <c r="AD99" s="27" t="n"/>
      <c r="AE99" s="27" t="n"/>
      <c r="AF99" s="27" t="n"/>
      <c r="AG99" s="27" t="n"/>
      <c r="AH99" s="28" t="n"/>
      <c r="AI99" s="27" t="n"/>
      <c r="AJ99" s="27" t="n"/>
      <c r="AK99" s="28" t="n"/>
      <c r="AL99" s="28" t="n"/>
      <c r="AM99" s="29">
        <f>IF($C99="","",COUNTIF(J99:P99,"要支援")+COUNTIF(Q99,"声かけでは変化なし")+COUNTIF(Q99,"支援を拒む・抵抗する")+COUNTIF(S99,"失敗が多い・援助が必要")+COUNTIF(T99,"偏食が強い・援助が必要")+COUNTIF(U99,"手伝いが必要")+COUNTIF(V99,"手伝いが必要")+COUNTIF(AA99,"よくある"))</f>
        <v/>
      </c>
      <c r="AN99" s="29">
        <f>IF($C99="","",COUNTIF(J99:P99,"見守り")+COUNTIF(Q99,"手を添える等が必要")+COUNTIF(S99,"ときどき失敗がある")+COUNTIF(T99,"偏食や時間がかかる")+COUNTIF(U99,"声かけでできる")+COUNTIF(V99,"声かけでできる")+COUNTIF(AA99,"ときどきある"))</f>
        <v/>
      </c>
      <c r="AO99" s="29">
        <f>IF($C99="","",IF(AM99&gt;=2,3,IF(OR(AM99=1,AN99&gt;=3),2,1)))</f>
        <v/>
      </c>
      <c r="AP99" s="27" t="n"/>
      <c r="AQ99" s="29">
        <f>IF($C99="","",COUNTIF(AB99,"非常に多い")+COUNTIF(AC99,"難しい")+COUNTIF(AD99,"不備が多い")+COUNTIF(AE99,"大きな差がある"))</f>
        <v/>
      </c>
      <c r="AR99" s="29">
        <f>IF($C99="","",IF(AQ99&gt;=3,3,IF(AQ99&gt;=2,2,1)))</f>
        <v/>
      </c>
      <c r="AS99" s="27" t="n"/>
    </row>
    <row r="100" ht="18" customHeight="1" s="20">
      <c r="A100" s="27" t="n"/>
      <c r="B100" s="27" t="n"/>
      <c r="C100" s="27" t="n"/>
      <c r="D100" s="27" t="n"/>
      <c r="E100" s="27" t="n"/>
      <c r="F100" s="27" t="n"/>
      <c r="G100" s="27" t="n"/>
      <c r="H100" s="28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8" t="n"/>
      <c r="S100" s="27" t="n"/>
      <c r="T100" s="27" t="n"/>
      <c r="U100" s="27" t="n"/>
      <c r="V100" s="27" t="n"/>
      <c r="W100" s="28" t="n"/>
      <c r="X100" s="27" t="n"/>
      <c r="Y100" s="28" t="n"/>
      <c r="Z100" s="28" t="n"/>
      <c r="AA100" s="27" t="n"/>
      <c r="AB100" s="27" t="n"/>
      <c r="AC100" s="27" t="n"/>
      <c r="AD100" s="27" t="n"/>
      <c r="AE100" s="27" t="n"/>
      <c r="AF100" s="27" t="n"/>
      <c r="AG100" s="27" t="n"/>
      <c r="AH100" s="28" t="n"/>
      <c r="AI100" s="27" t="n"/>
      <c r="AJ100" s="27" t="n"/>
      <c r="AK100" s="28" t="n"/>
      <c r="AL100" s="28" t="n"/>
      <c r="AM100" s="29">
        <f>IF($C100="","",COUNTIF(J100:P100,"要支援")+COUNTIF(Q100,"声かけでは変化なし")+COUNTIF(Q100,"支援を拒む・抵抗する")+COUNTIF(S100,"失敗が多い・援助が必要")+COUNTIF(T100,"偏食が強い・援助が必要")+COUNTIF(U100,"手伝いが必要")+COUNTIF(V100,"手伝いが必要")+COUNTIF(AA100,"よくある"))</f>
        <v/>
      </c>
      <c r="AN100" s="29">
        <f>IF($C100="","",COUNTIF(J100:P100,"見守り")+COUNTIF(Q100,"手を添える等が必要")+COUNTIF(S100,"ときどき失敗がある")+COUNTIF(T100,"偏食や時間がかかる")+COUNTIF(U100,"声かけでできる")+COUNTIF(V100,"声かけでできる")+COUNTIF(AA100,"ときどきある"))</f>
        <v/>
      </c>
      <c r="AO100" s="29">
        <f>IF($C100="","",IF(AM100&gt;=2,3,IF(OR(AM100=1,AN100&gt;=3),2,1)))</f>
        <v/>
      </c>
      <c r="AP100" s="27" t="n"/>
      <c r="AQ100" s="29">
        <f>IF($C100="","",COUNTIF(AB100,"非常に多い")+COUNTIF(AC100,"難しい")+COUNTIF(AD100,"不備が多い")+COUNTIF(AE100,"大きな差がある"))</f>
        <v/>
      </c>
      <c r="AR100" s="29">
        <f>IF($C100="","",IF(AQ100&gt;=3,3,IF(AQ100&gt;=2,2,1)))</f>
        <v/>
      </c>
      <c r="AS100" s="27" t="n"/>
    </row>
    <row r="101" ht="18" customHeight="1" s="20">
      <c r="A101" s="27" t="n"/>
      <c r="B101" s="27" t="n"/>
      <c r="C101" s="27" t="n"/>
      <c r="D101" s="27" t="n"/>
      <c r="E101" s="27" t="n"/>
      <c r="F101" s="27" t="n"/>
      <c r="G101" s="27" t="n"/>
      <c r="H101" s="28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8" t="n"/>
      <c r="S101" s="27" t="n"/>
      <c r="T101" s="27" t="n"/>
      <c r="U101" s="27" t="n"/>
      <c r="V101" s="27" t="n"/>
      <c r="W101" s="28" t="n"/>
      <c r="X101" s="27" t="n"/>
      <c r="Y101" s="28" t="n"/>
      <c r="Z101" s="28" t="n"/>
      <c r="AA101" s="27" t="n"/>
      <c r="AB101" s="27" t="n"/>
      <c r="AC101" s="27" t="n"/>
      <c r="AD101" s="27" t="n"/>
      <c r="AE101" s="27" t="n"/>
      <c r="AF101" s="27" t="n"/>
      <c r="AG101" s="27" t="n"/>
      <c r="AH101" s="28" t="n"/>
      <c r="AI101" s="27" t="n"/>
      <c r="AJ101" s="27" t="n"/>
      <c r="AK101" s="28" t="n"/>
      <c r="AL101" s="28" t="n"/>
      <c r="AM101" s="29">
        <f>IF($C101="","",COUNTIF(J101:P101,"要支援")+COUNTIF(Q101,"声かけでは変化なし")+COUNTIF(Q101,"支援を拒む・抵抗する")+COUNTIF(S101,"失敗が多い・援助が必要")+COUNTIF(T101,"偏食が強い・援助が必要")+COUNTIF(U101,"手伝いが必要")+COUNTIF(V101,"手伝いが必要")+COUNTIF(AA101,"よくある"))</f>
        <v/>
      </c>
      <c r="AN101" s="29">
        <f>IF($C101="","",COUNTIF(J101:P101,"見守り")+COUNTIF(Q101,"手を添える等が必要")+COUNTIF(S101,"ときどき失敗がある")+COUNTIF(T101,"偏食や時間がかかる")+COUNTIF(U101,"声かけでできる")+COUNTIF(V101,"声かけでできる")+COUNTIF(AA101,"ときどきある"))</f>
        <v/>
      </c>
      <c r="AO101" s="29">
        <f>IF($C101="","",IF(AM101&gt;=2,3,IF(OR(AM101=1,AN101&gt;=3),2,1)))</f>
        <v/>
      </c>
      <c r="AP101" s="27" t="n"/>
      <c r="AQ101" s="29">
        <f>IF($C101="","",COUNTIF(AB101,"非常に多い")+COUNTIF(AC101,"難しい")+COUNTIF(AD101,"不備が多い")+COUNTIF(AE101,"大きな差がある"))</f>
        <v/>
      </c>
      <c r="AR101" s="29">
        <f>IF($C101="","",IF(AQ101&gt;=3,3,IF(AQ101&gt;=2,2,1)))</f>
        <v/>
      </c>
      <c r="AS101" s="27" t="n"/>
    </row>
    <row r="102" ht="18" customHeight="1" s="20">
      <c r="A102" s="27" t="n"/>
      <c r="B102" s="27" t="n"/>
      <c r="C102" s="27" t="n"/>
      <c r="D102" s="27" t="n"/>
      <c r="E102" s="27" t="n"/>
      <c r="F102" s="27" t="n"/>
      <c r="G102" s="27" t="n"/>
      <c r="H102" s="28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8" t="n"/>
      <c r="S102" s="27" t="n"/>
      <c r="T102" s="27" t="n"/>
      <c r="U102" s="27" t="n"/>
      <c r="V102" s="27" t="n"/>
      <c r="W102" s="28" t="n"/>
      <c r="X102" s="27" t="n"/>
      <c r="Y102" s="28" t="n"/>
      <c r="Z102" s="28" t="n"/>
      <c r="AA102" s="27" t="n"/>
      <c r="AB102" s="27" t="n"/>
      <c r="AC102" s="27" t="n"/>
      <c r="AD102" s="27" t="n"/>
      <c r="AE102" s="27" t="n"/>
      <c r="AF102" s="27" t="n"/>
      <c r="AG102" s="27" t="n"/>
      <c r="AH102" s="28" t="n"/>
      <c r="AI102" s="27" t="n"/>
      <c r="AJ102" s="27" t="n"/>
      <c r="AK102" s="28" t="n"/>
      <c r="AL102" s="28" t="n"/>
      <c r="AM102" s="29">
        <f>IF($C102="","",COUNTIF(J102:P102,"要支援")+COUNTIF(Q102,"声かけでは変化なし")+COUNTIF(Q102,"支援を拒む・抵抗する")+COUNTIF(S102,"失敗が多い・援助が必要")+COUNTIF(T102,"偏食が強い・援助が必要")+COUNTIF(U102,"手伝いが必要")+COUNTIF(V102,"手伝いが必要")+COUNTIF(AA102,"よくある"))</f>
        <v/>
      </c>
      <c r="AN102" s="29">
        <f>IF($C102="","",COUNTIF(J102:P102,"見守り")+COUNTIF(Q102,"手を添える等が必要")+COUNTIF(S102,"ときどき失敗がある")+COUNTIF(T102,"偏食や時間がかかる")+COUNTIF(U102,"声かけでできる")+COUNTIF(V102,"声かけでできる")+COUNTIF(AA102,"ときどきある"))</f>
        <v/>
      </c>
      <c r="AO102" s="29">
        <f>IF($C102="","",IF(AM102&gt;=2,3,IF(OR(AM102=1,AN102&gt;=3),2,1)))</f>
        <v/>
      </c>
      <c r="AP102" s="27" t="n"/>
      <c r="AQ102" s="29">
        <f>IF($C102="","",COUNTIF(AB102,"非常に多い")+COUNTIF(AC102,"難しい")+COUNTIF(AD102,"不備が多い")+COUNTIF(AE102,"大きな差がある"))</f>
        <v/>
      </c>
      <c r="AR102" s="29">
        <f>IF($C102="","",IF(AQ102&gt;=3,3,IF(AQ102&gt;=2,2,1)))</f>
        <v/>
      </c>
      <c r="AS102" s="27" t="n"/>
    </row>
    <row r="103" ht="18" customHeight="1" s="20">
      <c r="A103" s="27" t="n"/>
      <c r="B103" s="27" t="n"/>
      <c r="C103" s="27" t="n"/>
      <c r="D103" s="27" t="n"/>
      <c r="E103" s="27" t="n"/>
      <c r="F103" s="27" t="n"/>
      <c r="G103" s="27" t="n"/>
      <c r="H103" s="28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8" t="n"/>
      <c r="S103" s="27" t="n"/>
      <c r="T103" s="27" t="n"/>
      <c r="U103" s="27" t="n"/>
      <c r="V103" s="27" t="n"/>
      <c r="W103" s="28" t="n"/>
      <c r="X103" s="27" t="n"/>
      <c r="Y103" s="28" t="n"/>
      <c r="Z103" s="28" t="n"/>
      <c r="AA103" s="27" t="n"/>
      <c r="AB103" s="27" t="n"/>
      <c r="AC103" s="27" t="n"/>
      <c r="AD103" s="27" t="n"/>
      <c r="AE103" s="27" t="n"/>
      <c r="AF103" s="27" t="n"/>
      <c r="AG103" s="27" t="n"/>
      <c r="AH103" s="28" t="n"/>
      <c r="AI103" s="27" t="n"/>
      <c r="AJ103" s="27" t="n"/>
      <c r="AK103" s="28" t="n"/>
      <c r="AL103" s="28" t="n"/>
      <c r="AM103" s="29">
        <f>IF($C103="","",COUNTIF(J103:P103,"要支援")+COUNTIF(Q103,"声かけでは変化なし")+COUNTIF(Q103,"支援を拒む・抵抗する")+COUNTIF(S103,"失敗が多い・援助が必要")+COUNTIF(T103,"偏食が強い・援助が必要")+COUNTIF(U103,"手伝いが必要")+COUNTIF(V103,"手伝いが必要")+COUNTIF(AA103,"よくある"))</f>
        <v/>
      </c>
      <c r="AN103" s="29">
        <f>IF($C103="","",COUNTIF(J103:P103,"見守り")+COUNTIF(Q103,"手を添える等が必要")+COUNTIF(S103,"ときどき失敗がある")+COUNTIF(T103,"偏食や時間がかかる")+COUNTIF(U103,"声かけでできる")+COUNTIF(V103,"声かけでできる")+COUNTIF(AA103,"ときどきある"))</f>
        <v/>
      </c>
      <c r="AO103" s="29">
        <f>IF($C103="","",IF(AM103&gt;=2,3,IF(OR(AM103=1,AN103&gt;=3),2,1)))</f>
        <v/>
      </c>
      <c r="AP103" s="27" t="n"/>
      <c r="AQ103" s="29">
        <f>IF($C103="","",COUNTIF(AB103,"非常に多い")+COUNTIF(AC103,"難しい")+COUNTIF(AD103,"不備が多い")+COUNTIF(AE103,"大きな差がある"))</f>
        <v/>
      </c>
      <c r="AR103" s="29">
        <f>IF($C103="","",IF(AQ103&gt;=3,3,IF(AQ103&gt;=2,2,1)))</f>
        <v/>
      </c>
      <c r="AS103" s="27" t="n"/>
    </row>
    <row r="104" ht="18" customHeight="1" s="20">
      <c r="A104" s="27" t="n"/>
      <c r="B104" s="27" t="n"/>
      <c r="C104" s="27" t="n"/>
      <c r="D104" s="27" t="n"/>
      <c r="E104" s="27" t="n"/>
      <c r="F104" s="27" t="n"/>
      <c r="G104" s="27" t="n"/>
      <c r="H104" s="28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8" t="n"/>
      <c r="S104" s="27" t="n"/>
      <c r="T104" s="27" t="n"/>
      <c r="U104" s="27" t="n"/>
      <c r="V104" s="27" t="n"/>
      <c r="W104" s="28" t="n"/>
      <c r="X104" s="27" t="n"/>
      <c r="Y104" s="28" t="n"/>
      <c r="Z104" s="28" t="n"/>
      <c r="AA104" s="27" t="n"/>
      <c r="AB104" s="27" t="n"/>
      <c r="AC104" s="27" t="n"/>
      <c r="AD104" s="27" t="n"/>
      <c r="AE104" s="27" t="n"/>
      <c r="AF104" s="27" t="n"/>
      <c r="AG104" s="27" t="n"/>
      <c r="AH104" s="28" t="n"/>
      <c r="AI104" s="27" t="n"/>
      <c r="AJ104" s="27" t="n"/>
      <c r="AK104" s="28" t="n"/>
      <c r="AL104" s="28" t="n"/>
      <c r="AM104" s="29">
        <f>IF($C104="","",COUNTIF(J104:P104,"要支援")+COUNTIF(Q104,"声かけでは変化なし")+COUNTIF(Q104,"支援を拒む・抵抗する")+COUNTIF(S104,"失敗が多い・援助が必要")+COUNTIF(T104,"偏食が強い・援助が必要")+COUNTIF(U104,"手伝いが必要")+COUNTIF(V104,"手伝いが必要")+COUNTIF(AA104,"よくある"))</f>
        <v/>
      </c>
      <c r="AN104" s="29">
        <f>IF($C104="","",COUNTIF(J104:P104,"見守り")+COUNTIF(Q104,"手を添える等が必要")+COUNTIF(S104,"ときどき失敗がある")+COUNTIF(T104,"偏食や時間がかかる")+COUNTIF(U104,"声かけでできる")+COUNTIF(V104,"声かけでできる")+COUNTIF(AA104,"ときどきある"))</f>
        <v/>
      </c>
      <c r="AO104" s="29">
        <f>IF($C104="","",IF(AM104&gt;=2,3,IF(OR(AM104=1,AN104&gt;=3),2,1)))</f>
        <v/>
      </c>
      <c r="AP104" s="27" t="n"/>
      <c r="AQ104" s="29">
        <f>IF($C104="","",COUNTIF(AB104,"非常に多い")+COUNTIF(AC104,"難しい")+COUNTIF(AD104,"不備が多い")+COUNTIF(AE104,"大きな差がある"))</f>
        <v/>
      </c>
      <c r="AR104" s="29">
        <f>IF($C104="","",IF(AQ104&gt;=3,3,IF(AQ104&gt;=2,2,1)))</f>
        <v/>
      </c>
      <c r="AS104" s="27" t="n"/>
    </row>
    <row r="105" ht="18" customHeight="1" s="20">
      <c r="A105" s="27" t="n"/>
      <c r="B105" s="27" t="n"/>
      <c r="C105" s="27" t="n"/>
      <c r="D105" s="27" t="n"/>
      <c r="E105" s="27" t="n"/>
      <c r="F105" s="27" t="n"/>
      <c r="G105" s="27" t="n"/>
      <c r="H105" s="28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8" t="n"/>
      <c r="S105" s="27" t="n"/>
      <c r="T105" s="27" t="n"/>
      <c r="U105" s="27" t="n"/>
      <c r="V105" s="27" t="n"/>
      <c r="W105" s="28" t="n"/>
      <c r="X105" s="27" t="n"/>
      <c r="Y105" s="28" t="n"/>
      <c r="Z105" s="28" t="n"/>
      <c r="AA105" s="27" t="n"/>
      <c r="AB105" s="27" t="n"/>
      <c r="AC105" s="27" t="n"/>
      <c r="AD105" s="27" t="n"/>
      <c r="AE105" s="27" t="n"/>
      <c r="AF105" s="27" t="n"/>
      <c r="AG105" s="27" t="n"/>
      <c r="AH105" s="28" t="n"/>
      <c r="AI105" s="27" t="n"/>
      <c r="AJ105" s="27" t="n"/>
      <c r="AK105" s="28" t="n"/>
      <c r="AL105" s="28" t="n"/>
      <c r="AM105" s="29">
        <f>IF($C105="","",COUNTIF(J105:P105,"要支援")+COUNTIF(Q105,"声かけでは変化なし")+COUNTIF(Q105,"支援を拒む・抵抗する")+COUNTIF(S105,"失敗が多い・援助が必要")+COUNTIF(T105,"偏食が強い・援助が必要")+COUNTIF(U105,"手伝いが必要")+COUNTIF(V105,"手伝いが必要")+COUNTIF(AA105,"よくある"))</f>
        <v/>
      </c>
      <c r="AN105" s="29">
        <f>IF($C105="","",COUNTIF(J105:P105,"見守り")+COUNTIF(Q105,"手を添える等が必要")+COUNTIF(S105,"ときどき失敗がある")+COUNTIF(T105,"偏食や時間がかかる")+COUNTIF(U105,"声かけでできる")+COUNTIF(V105,"声かけでできる")+COUNTIF(AA105,"ときどきある"))</f>
        <v/>
      </c>
      <c r="AO105" s="29">
        <f>IF($C105="","",IF(AM105&gt;=2,3,IF(OR(AM105=1,AN105&gt;=3),2,1)))</f>
        <v/>
      </c>
      <c r="AP105" s="27" t="n"/>
      <c r="AQ105" s="29">
        <f>IF($C105="","",COUNTIF(AB105,"非常に多い")+COUNTIF(AC105,"難しい")+COUNTIF(AD105,"不備が多い")+COUNTIF(AE105,"大きな差がある"))</f>
        <v/>
      </c>
      <c r="AR105" s="29">
        <f>IF($C105="","",IF(AQ105&gt;=3,3,IF(AQ105&gt;=2,2,1)))</f>
        <v/>
      </c>
      <c r="AS105" s="27" t="n"/>
    </row>
    <row r="106" ht="18" customHeight="1" s="20">
      <c r="A106" s="27" t="n"/>
      <c r="B106" s="27" t="n"/>
      <c r="C106" s="27" t="n"/>
      <c r="D106" s="27" t="n"/>
      <c r="E106" s="27" t="n"/>
      <c r="F106" s="27" t="n"/>
      <c r="G106" s="27" t="n"/>
      <c r="H106" s="28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8" t="n"/>
      <c r="S106" s="27" t="n"/>
      <c r="T106" s="27" t="n"/>
      <c r="U106" s="27" t="n"/>
      <c r="V106" s="27" t="n"/>
      <c r="W106" s="28" t="n"/>
      <c r="X106" s="27" t="n"/>
      <c r="Y106" s="28" t="n"/>
      <c r="Z106" s="28" t="n"/>
      <c r="AA106" s="27" t="n"/>
      <c r="AB106" s="27" t="n"/>
      <c r="AC106" s="27" t="n"/>
      <c r="AD106" s="27" t="n"/>
      <c r="AE106" s="27" t="n"/>
      <c r="AF106" s="27" t="n"/>
      <c r="AG106" s="27" t="n"/>
      <c r="AH106" s="28" t="n"/>
      <c r="AI106" s="27" t="n"/>
      <c r="AJ106" s="27" t="n"/>
      <c r="AK106" s="28" t="n"/>
      <c r="AL106" s="28" t="n"/>
      <c r="AM106" s="29">
        <f>IF($C106="","",COUNTIF(J106:P106,"要支援")+COUNTIF(Q106,"声かけでは変化なし")+COUNTIF(Q106,"支援を拒む・抵抗する")+COUNTIF(S106,"失敗が多い・援助が必要")+COUNTIF(T106,"偏食が強い・援助が必要")+COUNTIF(U106,"手伝いが必要")+COUNTIF(V106,"手伝いが必要")+COUNTIF(AA106,"よくある"))</f>
        <v/>
      </c>
      <c r="AN106" s="29">
        <f>IF($C106="","",COUNTIF(J106:P106,"見守り")+COUNTIF(Q106,"手を添える等が必要")+COUNTIF(S106,"ときどき失敗がある")+COUNTIF(T106,"偏食や時間がかかる")+COUNTIF(U106,"声かけでできる")+COUNTIF(V106,"声かけでできる")+COUNTIF(AA106,"ときどきある"))</f>
        <v/>
      </c>
      <c r="AO106" s="29">
        <f>IF($C106="","",IF(AM106&gt;=2,3,IF(OR(AM106=1,AN106&gt;=3),2,1)))</f>
        <v/>
      </c>
      <c r="AP106" s="27" t="n"/>
      <c r="AQ106" s="29">
        <f>IF($C106="","",COUNTIF(AB106,"非常に多い")+COUNTIF(AC106,"難しい")+COUNTIF(AD106,"不備が多い")+COUNTIF(AE106,"大きな差がある"))</f>
        <v/>
      </c>
      <c r="AR106" s="29">
        <f>IF($C106="","",IF(AQ106&gt;=3,3,IF(AQ106&gt;=2,2,1)))</f>
        <v/>
      </c>
      <c r="AS106" s="27" t="n"/>
    </row>
    <row r="107" ht="18" customHeight="1" s="20">
      <c r="A107" s="27" t="n"/>
      <c r="B107" s="27" t="n"/>
      <c r="C107" s="27" t="n"/>
      <c r="D107" s="27" t="n"/>
      <c r="E107" s="27" t="n"/>
      <c r="F107" s="27" t="n"/>
      <c r="G107" s="27" t="n"/>
      <c r="H107" s="28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8" t="n"/>
      <c r="S107" s="27" t="n"/>
      <c r="T107" s="27" t="n"/>
      <c r="U107" s="27" t="n"/>
      <c r="V107" s="27" t="n"/>
      <c r="W107" s="28" t="n"/>
      <c r="X107" s="27" t="n"/>
      <c r="Y107" s="28" t="n"/>
      <c r="Z107" s="28" t="n"/>
      <c r="AA107" s="27" t="n"/>
      <c r="AB107" s="27" t="n"/>
      <c r="AC107" s="27" t="n"/>
      <c r="AD107" s="27" t="n"/>
      <c r="AE107" s="27" t="n"/>
      <c r="AF107" s="27" t="n"/>
      <c r="AG107" s="27" t="n"/>
      <c r="AH107" s="28" t="n"/>
      <c r="AI107" s="27" t="n"/>
      <c r="AJ107" s="27" t="n"/>
      <c r="AK107" s="28" t="n"/>
      <c r="AL107" s="28" t="n"/>
      <c r="AM107" s="29">
        <f>IF($C107="","",COUNTIF(J107:P107,"要支援")+COUNTIF(Q107,"声かけでは変化なし")+COUNTIF(Q107,"支援を拒む・抵抗する")+COUNTIF(S107,"失敗が多い・援助が必要")+COUNTIF(T107,"偏食が強い・援助が必要")+COUNTIF(U107,"手伝いが必要")+COUNTIF(V107,"手伝いが必要")+COUNTIF(AA107,"よくある"))</f>
        <v/>
      </c>
      <c r="AN107" s="29">
        <f>IF($C107="","",COUNTIF(J107:P107,"見守り")+COUNTIF(Q107,"手を添える等が必要")+COUNTIF(S107,"ときどき失敗がある")+COUNTIF(T107,"偏食や時間がかかる")+COUNTIF(U107,"声かけでできる")+COUNTIF(V107,"声かけでできる")+COUNTIF(AA107,"ときどきある"))</f>
        <v/>
      </c>
      <c r="AO107" s="29">
        <f>IF($C107="","",IF(AM107&gt;=2,3,IF(OR(AM107=1,AN107&gt;=3),2,1)))</f>
        <v/>
      </c>
      <c r="AP107" s="27" t="n"/>
      <c r="AQ107" s="29">
        <f>IF($C107="","",COUNTIF(AB107,"非常に多い")+COUNTIF(AC107,"難しい")+COUNTIF(AD107,"不備が多い")+COUNTIF(AE107,"大きな差がある"))</f>
        <v/>
      </c>
      <c r="AR107" s="29">
        <f>IF($C107="","",IF(AQ107&gt;=3,3,IF(AQ107&gt;=2,2,1)))</f>
        <v/>
      </c>
      <c r="AS107" s="27" t="n"/>
    </row>
    <row r="108" ht="18" customHeight="1" s="20">
      <c r="A108" s="27" t="n"/>
      <c r="B108" s="27" t="n"/>
      <c r="C108" s="27" t="n"/>
      <c r="D108" s="27" t="n"/>
      <c r="E108" s="27" t="n"/>
      <c r="F108" s="27" t="n"/>
      <c r="G108" s="27" t="n"/>
      <c r="H108" s="28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8" t="n"/>
      <c r="S108" s="27" t="n"/>
      <c r="T108" s="27" t="n"/>
      <c r="U108" s="27" t="n"/>
      <c r="V108" s="27" t="n"/>
      <c r="W108" s="28" t="n"/>
      <c r="X108" s="27" t="n"/>
      <c r="Y108" s="28" t="n"/>
      <c r="Z108" s="28" t="n"/>
      <c r="AA108" s="27" t="n"/>
      <c r="AB108" s="27" t="n"/>
      <c r="AC108" s="27" t="n"/>
      <c r="AD108" s="27" t="n"/>
      <c r="AE108" s="27" t="n"/>
      <c r="AF108" s="27" t="n"/>
      <c r="AG108" s="27" t="n"/>
      <c r="AH108" s="28" t="n"/>
      <c r="AI108" s="27" t="n"/>
      <c r="AJ108" s="27" t="n"/>
      <c r="AK108" s="28" t="n"/>
      <c r="AL108" s="28" t="n"/>
      <c r="AM108" s="29">
        <f>IF($C108="","",COUNTIF(J108:P108,"要支援")+COUNTIF(Q108,"声かけでは変化なし")+COUNTIF(Q108,"支援を拒む・抵抗する")+COUNTIF(S108,"失敗が多い・援助が必要")+COUNTIF(T108,"偏食が強い・援助が必要")+COUNTIF(U108,"手伝いが必要")+COUNTIF(V108,"手伝いが必要")+COUNTIF(AA108,"よくある"))</f>
        <v/>
      </c>
      <c r="AN108" s="29">
        <f>IF($C108="","",COUNTIF(J108:P108,"見守り")+COUNTIF(Q108,"手を添える等が必要")+COUNTIF(S108,"ときどき失敗がある")+COUNTIF(T108,"偏食や時間がかかる")+COUNTIF(U108,"声かけでできる")+COUNTIF(V108,"声かけでできる")+COUNTIF(AA108,"ときどきある"))</f>
        <v/>
      </c>
      <c r="AO108" s="29">
        <f>IF($C108="","",IF(AM108&gt;=2,3,IF(OR(AM108=1,AN108&gt;=3),2,1)))</f>
        <v/>
      </c>
      <c r="AP108" s="27" t="n"/>
      <c r="AQ108" s="29">
        <f>IF($C108="","",COUNTIF(AB108,"非常に多い")+COUNTIF(AC108,"難しい")+COUNTIF(AD108,"不備が多い")+COUNTIF(AE108,"大きな差がある"))</f>
        <v/>
      </c>
      <c r="AR108" s="29">
        <f>IF($C108="","",IF(AQ108&gt;=3,3,IF(AQ108&gt;=2,2,1)))</f>
        <v/>
      </c>
      <c r="AS108" s="27" t="n"/>
    </row>
    <row r="109" ht="18" customHeight="1" s="20">
      <c r="A109" s="27" t="n"/>
      <c r="B109" s="27" t="n"/>
      <c r="C109" s="27" t="n"/>
      <c r="D109" s="27" t="n"/>
      <c r="E109" s="27" t="n"/>
      <c r="F109" s="27" t="n"/>
      <c r="G109" s="27" t="n"/>
      <c r="H109" s="28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8" t="n"/>
      <c r="S109" s="27" t="n"/>
      <c r="T109" s="27" t="n"/>
      <c r="U109" s="27" t="n"/>
      <c r="V109" s="27" t="n"/>
      <c r="W109" s="28" t="n"/>
      <c r="X109" s="27" t="n"/>
      <c r="Y109" s="28" t="n"/>
      <c r="Z109" s="28" t="n"/>
      <c r="AA109" s="27" t="n"/>
      <c r="AB109" s="27" t="n"/>
      <c r="AC109" s="27" t="n"/>
      <c r="AD109" s="27" t="n"/>
      <c r="AE109" s="27" t="n"/>
      <c r="AF109" s="27" t="n"/>
      <c r="AG109" s="27" t="n"/>
      <c r="AH109" s="28" t="n"/>
      <c r="AI109" s="27" t="n"/>
      <c r="AJ109" s="27" t="n"/>
      <c r="AK109" s="28" t="n"/>
      <c r="AL109" s="28" t="n"/>
      <c r="AM109" s="29">
        <f>IF($C109="","",COUNTIF(J109:P109,"要支援")+COUNTIF(Q109,"声かけでは変化なし")+COUNTIF(Q109,"支援を拒む・抵抗する")+COUNTIF(S109,"失敗が多い・援助が必要")+COUNTIF(T109,"偏食が強い・援助が必要")+COUNTIF(U109,"手伝いが必要")+COUNTIF(V109,"手伝いが必要")+COUNTIF(AA109,"よくある"))</f>
        <v/>
      </c>
      <c r="AN109" s="29">
        <f>IF($C109="","",COUNTIF(J109:P109,"見守り")+COUNTIF(Q109,"手を添える等が必要")+COUNTIF(S109,"ときどき失敗がある")+COUNTIF(T109,"偏食や時間がかかる")+COUNTIF(U109,"声かけでできる")+COUNTIF(V109,"声かけでできる")+COUNTIF(AA109,"ときどきある"))</f>
        <v/>
      </c>
      <c r="AO109" s="29">
        <f>IF($C109="","",IF(AM109&gt;=2,3,IF(OR(AM109=1,AN109&gt;=3),2,1)))</f>
        <v/>
      </c>
      <c r="AP109" s="27" t="n"/>
      <c r="AQ109" s="29">
        <f>IF($C109="","",COUNTIF(AB109,"非常に多い")+COUNTIF(AC109,"難しい")+COUNTIF(AD109,"不備が多い")+COUNTIF(AE109,"大きな差がある"))</f>
        <v/>
      </c>
      <c r="AR109" s="29">
        <f>IF($C109="","",IF(AQ109&gt;=3,3,IF(AQ109&gt;=2,2,1)))</f>
        <v/>
      </c>
      <c r="AS109" s="27" t="n"/>
    </row>
    <row r="110" ht="18" customHeight="1" s="20">
      <c r="A110" s="27" t="n"/>
      <c r="B110" s="27" t="n"/>
      <c r="C110" s="27" t="n"/>
      <c r="D110" s="27" t="n"/>
      <c r="E110" s="27" t="n"/>
      <c r="F110" s="27" t="n"/>
      <c r="G110" s="27" t="n"/>
      <c r="H110" s="28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8" t="n"/>
      <c r="S110" s="27" t="n"/>
      <c r="T110" s="27" t="n"/>
      <c r="U110" s="27" t="n"/>
      <c r="V110" s="27" t="n"/>
      <c r="W110" s="28" t="n"/>
      <c r="X110" s="27" t="n"/>
      <c r="Y110" s="28" t="n"/>
      <c r="Z110" s="28" t="n"/>
      <c r="AA110" s="27" t="n"/>
      <c r="AB110" s="27" t="n"/>
      <c r="AC110" s="27" t="n"/>
      <c r="AD110" s="27" t="n"/>
      <c r="AE110" s="27" t="n"/>
      <c r="AF110" s="27" t="n"/>
      <c r="AG110" s="27" t="n"/>
      <c r="AH110" s="28" t="n"/>
      <c r="AI110" s="27" t="n"/>
      <c r="AJ110" s="27" t="n"/>
      <c r="AK110" s="28" t="n"/>
      <c r="AL110" s="28" t="n"/>
      <c r="AM110" s="29">
        <f>IF($C110="","",COUNTIF(J110:P110,"要支援")+COUNTIF(Q110,"声かけでは変化なし")+COUNTIF(Q110,"支援を拒む・抵抗する")+COUNTIF(S110,"失敗が多い・援助が必要")+COUNTIF(T110,"偏食が強い・援助が必要")+COUNTIF(U110,"手伝いが必要")+COUNTIF(V110,"手伝いが必要")+COUNTIF(AA110,"よくある"))</f>
        <v/>
      </c>
      <c r="AN110" s="29">
        <f>IF($C110="","",COUNTIF(J110:P110,"見守り")+COUNTIF(Q110,"手を添える等が必要")+COUNTIF(S110,"ときどき失敗がある")+COUNTIF(T110,"偏食や時間がかかる")+COUNTIF(U110,"声かけでできる")+COUNTIF(V110,"声かけでできる")+COUNTIF(AA110,"ときどきある"))</f>
        <v/>
      </c>
      <c r="AO110" s="29">
        <f>IF($C110="","",IF(AM110&gt;=2,3,IF(OR(AM110=1,AN110&gt;=3),2,1)))</f>
        <v/>
      </c>
      <c r="AP110" s="27" t="n"/>
      <c r="AQ110" s="29">
        <f>IF($C110="","",COUNTIF(AB110,"非常に多い")+COUNTIF(AC110,"難しい")+COUNTIF(AD110,"不備が多い")+COUNTIF(AE110,"大きな差がある"))</f>
        <v/>
      </c>
      <c r="AR110" s="29">
        <f>IF($C110="","",IF(AQ110&gt;=3,3,IF(AQ110&gt;=2,2,1)))</f>
        <v/>
      </c>
      <c r="AS110" s="27" t="n"/>
    </row>
    <row r="111" ht="18" customHeight="1" s="20">
      <c r="A111" s="27" t="n"/>
      <c r="B111" s="27" t="n"/>
      <c r="C111" s="27" t="n"/>
      <c r="D111" s="27" t="n"/>
      <c r="E111" s="27" t="n"/>
      <c r="F111" s="27" t="n"/>
      <c r="G111" s="27" t="n"/>
      <c r="H111" s="28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8" t="n"/>
      <c r="S111" s="27" t="n"/>
      <c r="T111" s="27" t="n"/>
      <c r="U111" s="27" t="n"/>
      <c r="V111" s="27" t="n"/>
      <c r="W111" s="28" t="n"/>
      <c r="X111" s="27" t="n"/>
      <c r="Y111" s="28" t="n"/>
      <c r="Z111" s="28" t="n"/>
      <c r="AA111" s="27" t="n"/>
      <c r="AB111" s="27" t="n"/>
      <c r="AC111" s="27" t="n"/>
      <c r="AD111" s="27" t="n"/>
      <c r="AE111" s="27" t="n"/>
      <c r="AF111" s="27" t="n"/>
      <c r="AG111" s="27" t="n"/>
      <c r="AH111" s="28" t="n"/>
      <c r="AI111" s="27" t="n"/>
      <c r="AJ111" s="27" t="n"/>
      <c r="AK111" s="28" t="n"/>
      <c r="AL111" s="28" t="n"/>
      <c r="AM111" s="29">
        <f>IF($C111="","",COUNTIF(J111:P111,"要支援")+COUNTIF(Q111,"声かけでは変化なし")+COUNTIF(Q111,"支援を拒む・抵抗する")+COUNTIF(S111,"失敗が多い・援助が必要")+COUNTIF(T111,"偏食が強い・援助が必要")+COUNTIF(U111,"手伝いが必要")+COUNTIF(V111,"手伝いが必要")+COUNTIF(AA111,"よくある"))</f>
        <v/>
      </c>
      <c r="AN111" s="29">
        <f>IF($C111="","",COUNTIF(J111:P111,"見守り")+COUNTIF(Q111,"手を添える等が必要")+COUNTIF(S111,"ときどき失敗がある")+COUNTIF(T111,"偏食や時間がかかる")+COUNTIF(U111,"声かけでできる")+COUNTIF(V111,"声かけでできる")+COUNTIF(AA111,"ときどきある"))</f>
        <v/>
      </c>
      <c r="AO111" s="29">
        <f>IF($C111="","",IF(AM111&gt;=2,3,IF(OR(AM111=1,AN111&gt;=3),2,1)))</f>
        <v/>
      </c>
      <c r="AP111" s="27" t="n"/>
      <c r="AQ111" s="29">
        <f>IF($C111="","",COUNTIF(AB111,"非常に多い")+COUNTIF(AC111,"難しい")+COUNTIF(AD111,"不備が多い")+COUNTIF(AE111,"大きな差がある"))</f>
        <v/>
      </c>
      <c r="AR111" s="29">
        <f>IF($C111="","",IF(AQ111&gt;=3,3,IF(AQ111&gt;=2,2,1)))</f>
        <v/>
      </c>
      <c r="AS111" s="27" t="n"/>
    </row>
    <row r="112" ht="18" customHeight="1" s="20">
      <c r="A112" s="27" t="n"/>
      <c r="B112" s="27" t="n"/>
      <c r="C112" s="27" t="n"/>
      <c r="D112" s="27" t="n"/>
      <c r="E112" s="27" t="n"/>
      <c r="F112" s="27" t="n"/>
      <c r="G112" s="27" t="n"/>
      <c r="H112" s="28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8" t="n"/>
      <c r="S112" s="27" t="n"/>
      <c r="T112" s="27" t="n"/>
      <c r="U112" s="27" t="n"/>
      <c r="V112" s="27" t="n"/>
      <c r="W112" s="28" t="n"/>
      <c r="X112" s="27" t="n"/>
      <c r="Y112" s="28" t="n"/>
      <c r="Z112" s="28" t="n"/>
      <c r="AA112" s="27" t="n"/>
      <c r="AB112" s="27" t="n"/>
      <c r="AC112" s="27" t="n"/>
      <c r="AD112" s="27" t="n"/>
      <c r="AE112" s="27" t="n"/>
      <c r="AF112" s="27" t="n"/>
      <c r="AG112" s="27" t="n"/>
      <c r="AH112" s="28" t="n"/>
      <c r="AI112" s="27" t="n"/>
      <c r="AJ112" s="27" t="n"/>
      <c r="AK112" s="28" t="n"/>
      <c r="AL112" s="28" t="n"/>
      <c r="AM112" s="29">
        <f>IF($C112="","",COUNTIF(J112:P112,"要支援")+COUNTIF(Q112,"声かけでは変化なし")+COUNTIF(Q112,"支援を拒む・抵抗する")+COUNTIF(S112,"失敗が多い・援助が必要")+COUNTIF(T112,"偏食が強い・援助が必要")+COUNTIF(U112,"手伝いが必要")+COUNTIF(V112,"手伝いが必要")+COUNTIF(AA112,"よくある"))</f>
        <v/>
      </c>
      <c r="AN112" s="29">
        <f>IF($C112="","",COUNTIF(J112:P112,"見守り")+COUNTIF(Q112,"手を添える等が必要")+COUNTIF(S112,"ときどき失敗がある")+COUNTIF(T112,"偏食や時間がかかる")+COUNTIF(U112,"声かけでできる")+COUNTIF(V112,"声かけでできる")+COUNTIF(AA112,"ときどきある"))</f>
        <v/>
      </c>
      <c r="AO112" s="29">
        <f>IF($C112="","",IF(AM112&gt;=2,3,IF(OR(AM112=1,AN112&gt;=3),2,1)))</f>
        <v/>
      </c>
      <c r="AP112" s="27" t="n"/>
      <c r="AQ112" s="29">
        <f>IF($C112="","",COUNTIF(AB112,"非常に多い")+COUNTIF(AC112,"難しい")+COUNTIF(AD112,"不備が多い")+COUNTIF(AE112,"大きな差がある"))</f>
        <v/>
      </c>
      <c r="AR112" s="29">
        <f>IF($C112="","",IF(AQ112&gt;=3,3,IF(AQ112&gt;=2,2,1)))</f>
        <v/>
      </c>
      <c r="AS112" s="27" t="n"/>
    </row>
    <row r="113" ht="18" customHeight="1" s="20">
      <c r="A113" s="27" t="n"/>
      <c r="B113" s="27" t="n"/>
      <c r="C113" s="27" t="n"/>
      <c r="D113" s="27" t="n"/>
      <c r="E113" s="27" t="n"/>
      <c r="F113" s="27" t="n"/>
      <c r="G113" s="27" t="n"/>
      <c r="H113" s="28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8" t="n"/>
      <c r="S113" s="27" t="n"/>
      <c r="T113" s="27" t="n"/>
      <c r="U113" s="27" t="n"/>
      <c r="V113" s="27" t="n"/>
      <c r="W113" s="28" t="n"/>
      <c r="X113" s="27" t="n"/>
      <c r="Y113" s="28" t="n"/>
      <c r="Z113" s="28" t="n"/>
      <c r="AA113" s="27" t="n"/>
      <c r="AB113" s="27" t="n"/>
      <c r="AC113" s="27" t="n"/>
      <c r="AD113" s="27" t="n"/>
      <c r="AE113" s="27" t="n"/>
      <c r="AF113" s="27" t="n"/>
      <c r="AG113" s="27" t="n"/>
      <c r="AH113" s="28" t="n"/>
      <c r="AI113" s="27" t="n"/>
      <c r="AJ113" s="27" t="n"/>
      <c r="AK113" s="28" t="n"/>
      <c r="AL113" s="28" t="n"/>
      <c r="AM113" s="29">
        <f>IF($C113="","",COUNTIF(J113:P113,"要支援")+COUNTIF(Q113,"声かけでは変化なし")+COUNTIF(Q113,"支援を拒む・抵抗する")+COUNTIF(S113,"失敗が多い・援助が必要")+COUNTIF(T113,"偏食が強い・援助が必要")+COUNTIF(U113,"手伝いが必要")+COUNTIF(V113,"手伝いが必要")+COUNTIF(AA113,"よくある"))</f>
        <v/>
      </c>
      <c r="AN113" s="29">
        <f>IF($C113="","",COUNTIF(J113:P113,"見守り")+COUNTIF(Q113,"手を添える等が必要")+COUNTIF(S113,"ときどき失敗がある")+COUNTIF(T113,"偏食や時間がかかる")+COUNTIF(U113,"声かけでできる")+COUNTIF(V113,"声かけでできる")+COUNTIF(AA113,"ときどきある"))</f>
        <v/>
      </c>
      <c r="AO113" s="29">
        <f>IF($C113="","",IF(AM113&gt;=2,3,IF(OR(AM113=1,AN113&gt;=3),2,1)))</f>
        <v/>
      </c>
      <c r="AP113" s="27" t="n"/>
      <c r="AQ113" s="29">
        <f>IF($C113="","",COUNTIF(AB113,"非常に多い")+COUNTIF(AC113,"難しい")+COUNTIF(AD113,"不備が多い")+COUNTIF(AE113,"大きな差がある"))</f>
        <v/>
      </c>
      <c r="AR113" s="29">
        <f>IF($C113="","",IF(AQ113&gt;=3,3,IF(AQ113&gt;=2,2,1)))</f>
        <v/>
      </c>
      <c r="AS113" s="27" t="n"/>
    </row>
    <row r="114" ht="18" customHeight="1" s="20">
      <c r="A114" s="27" t="n"/>
      <c r="B114" s="27" t="n"/>
      <c r="C114" s="27" t="n"/>
      <c r="D114" s="27" t="n"/>
      <c r="E114" s="27" t="n"/>
      <c r="F114" s="27" t="n"/>
      <c r="G114" s="27" t="n"/>
      <c r="H114" s="28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8" t="n"/>
      <c r="S114" s="27" t="n"/>
      <c r="T114" s="27" t="n"/>
      <c r="U114" s="27" t="n"/>
      <c r="V114" s="27" t="n"/>
      <c r="W114" s="28" t="n"/>
      <c r="X114" s="27" t="n"/>
      <c r="Y114" s="28" t="n"/>
      <c r="Z114" s="28" t="n"/>
      <c r="AA114" s="27" t="n"/>
      <c r="AB114" s="27" t="n"/>
      <c r="AC114" s="27" t="n"/>
      <c r="AD114" s="27" t="n"/>
      <c r="AE114" s="27" t="n"/>
      <c r="AF114" s="27" t="n"/>
      <c r="AG114" s="27" t="n"/>
      <c r="AH114" s="28" t="n"/>
      <c r="AI114" s="27" t="n"/>
      <c r="AJ114" s="27" t="n"/>
      <c r="AK114" s="28" t="n"/>
      <c r="AL114" s="28" t="n"/>
      <c r="AM114" s="29">
        <f>IF($C114="","",COUNTIF(J114:P114,"要支援")+COUNTIF(Q114,"声かけでは変化なし")+COUNTIF(Q114,"支援を拒む・抵抗する")+COUNTIF(S114,"失敗が多い・援助が必要")+COUNTIF(T114,"偏食が強い・援助が必要")+COUNTIF(U114,"手伝いが必要")+COUNTIF(V114,"手伝いが必要")+COUNTIF(AA114,"よくある"))</f>
        <v/>
      </c>
      <c r="AN114" s="29">
        <f>IF($C114="","",COUNTIF(J114:P114,"見守り")+COUNTIF(Q114,"手を添える等が必要")+COUNTIF(S114,"ときどき失敗がある")+COUNTIF(T114,"偏食や時間がかかる")+COUNTIF(U114,"声かけでできる")+COUNTIF(V114,"声かけでできる")+COUNTIF(AA114,"ときどきある"))</f>
        <v/>
      </c>
      <c r="AO114" s="29">
        <f>IF($C114="","",IF(AM114&gt;=2,3,IF(OR(AM114=1,AN114&gt;=3),2,1)))</f>
        <v/>
      </c>
      <c r="AP114" s="27" t="n"/>
      <c r="AQ114" s="29">
        <f>IF($C114="","",COUNTIF(AB114,"非常に多い")+COUNTIF(AC114,"難しい")+COUNTIF(AD114,"不備が多い")+COUNTIF(AE114,"大きな差がある"))</f>
        <v/>
      </c>
      <c r="AR114" s="29">
        <f>IF($C114="","",IF(AQ114&gt;=3,3,IF(AQ114&gt;=2,2,1)))</f>
        <v/>
      </c>
      <c r="AS114" s="27" t="n"/>
    </row>
    <row r="115" ht="18" customHeight="1" s="20">
      <c r="A115" s="27" t="n"/>
      <c r="B115" s="27" t="n"/>
      <c r="C115" s="27" t="n"/>
      <c r="D115" s="27" t="n"/>
      <c r="E115" s="27" t="n"/>
      <c r="F115" s="27" t="n"/>
      <c r="G115" s="27" t="n"/>
      <c r="H115" s="28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8" t="n"/>
      <c r="S115" s="27" t="n"/>
      <c r="T115" s="27" t="n"/>
      <c r="U115" s="27" t="n"/>
      <c r="V115" s="27" t="n"/>
      <c r="W115" s="28" t="n"/>
      <c r="X115" s="27" t="n"/>
      <c r="Y115" s="28" t="n"/>
      <c r="Z115" s="28" t="n"/>
      <c r="AA115" s="27" t="n"/>
      <c r="AB115" s="27" t="n"/>
      <c r="AC115" s="27" t="n"/>
      <c r="AD115" s="27" t="n"/>
      <c r="AE115" s="27" t="n"/>
      <c r="AF115" s="27" t="n"/>
      <c r="AG115" s="27" t="n"/>
      <c r="AH115" s="28" t="n"/>
      <c r="AI115" s="27" t="n"/>
      <c r="AJ115" s="27" t="n"/>
      <c r="AK115" s="28" t="n"/>
      <c r="AL115" s="28" t="n"/>
      <c r="AM115" s="29">
        <f>IF($C115="","",COUNTIF(J115:P115,"要支援")+COUNTIF(Q115,"声かけでは変化なし")+COUNTIF(Q115,"支援を拒む・抵抗する")+COUNTIF(S115,"失敗が多い・援助が必要")+COUNTIF(T115,"偏食が強い・援助が必要")+COUNTIF(U115,"手伝いが必要")+COUNTIF(V115,"手伝いが必要")+COUNTIF(AA115,"よくある"))</f>
        <v/>
      </c>
      <c r="AN115" s="29">
        <f>IF($C115="","",COUNTIF(J115:P115,"見守り")+COUNTIF(Q115,"手を添える等が必要")+COUNTIF(S115,"ときどき失敗がある")+COUNTIF(T115,"偏食や時間がかかる")+COUNTIF(U115,"声かけでできる")+COUNTIF(V115,"声かけでできる")+COUNTIF(AA115,"ときどきある"))</f>
        <v/>
      </c>
      <c r="AO115" s="29">
        <f>IF($C115="","",IF(AM115&gt;=2,3,IF(OR(AM115=1,AN115&gt;=3),2,1)))</f>
        <v/>
      </c>
      <c r="AP115" s="27" t="n"/>
      <c r="AQ115" s="29">
        <f>IF($C115="","",COUNTIF(AB115,"非常に多い")+COUNTIF(AC115,"難しい")+COUNTIF(AD115,"不備が多い")+COUNTIF(AE115,"大きな差がある"))</f>
        <v/>
      </c>
      <c r="AR115" s="29">
        <f>IF($C115="","",IF(AQ115&gt;=3,3,IF(AQ115&gt;=2,2,1)))</f>
        <v/>
      </c>
      <c r="AS115" s="27" t="n"/>
    </row>
    <row r="116" ht="18" customHeight="1" s="20">
      <c r="A116" s="27" t="n"/>
      <c r="B116" s="27" t="n"/>
      <c r="C116" s="27" t="n"/>
      <c r="D116" s="27" t="n"/>
      <c r="E116" s="27" t="n"/>
      <c r="F116" s="27" t="n"/>
      <c r="G116" s="27" t="n"/>
      <c r="H116" s="28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8" t="n"/>
      <c r="S116" s="27" t="n"/>
      <c r="T116" s="27" t="n"/>
      <c r="U116" s="27" t="n"/>
      <c r="V116" s="27" t="n"/>
      <c r="W116" s="28" t="n"/>
      <c r="X116" s="27" t="n"/>
      <c r="Y116" s="28" t="n"/>
      <c r="Z116" s="28" t="n"/>
      <c r="AA116" s="27" t="n"/>
      <c r="AB116" s="27" t="n"/>
      <c r="AC116" s="27" t="n"/>
      <c r="AD116" s="27" t="n"/>
      <c r="AE116" s="27" t="n"/>
      <c r="AF116" s="27" t="n"/>
      <c r="AG116" s="27" t="n"/>
      <c r="AH116" s="28" t="n"/>
      <c r="AI116" s="27" t="n"/>
      <c r="AJ116" s="27" t="n"/>
      <c r="AK116" s="28" t="n"/>
      <c r="AL116" s="28" t="n"/>
      <c r="AM116" s="29">
        <f>IF($C116="","",COUNTIF(J116:P116,"要支援")+COUNTIF(Q116,"声かけでは変化なし")+COUNTIF(Q116,"支援を拒む・抵抗する")+COUNTIF(S116,"失敗が多い・援助が必要")+COUNTIF(T116,"偏食が強い・援助が必要")+COUNTIF(U116,"手伝いが必要")+COUNTIF(V116,"手伝いが必要")+COUNTIF(AA116,"よくある"))</f>
        <v/>
      </c>
      <c r="AN116" s="29">
        <f>IF($C116="","",COUNTIF(J116:P116,"見守り")+COUNTIF(Q116,"手を添える等が必要")+COUNTIF(S116,"ときどき失敗がある")+COUNTIF(T116,"偏食や時間がかかる")+COUNTIF(U116,"声かけでできる")+COUNTIF(V116,"声かけでできる")+COUNTIF(AA116,"ときどきある"))</f>
        <v/>
      </c>
      <c r="AO116" s="29">
        <f>IF($C116="","",IF(AM116&gt;=2,3,IF(OR(AM116=1,AN116&gt;=3),2,1)))</f>
        <v/>
      </c>
      <c r="AP116" s="27" t="n"/>
      <c r="AQ116" s="29">
        <f>IF($C116="","",COUNTIF(AB116,"非常に多い")+COUNTIF(AC116,"難しい")+COUNTIF(AD116,"不備が多い")+COUNTIF(AE116,"大きな差がある"))</f>
        <v/>
      </c>
      <c r="AR116" s="29">
        <f>IF($C116="","",IF(AQ116&gt;=3,3,IF(AQ116&gt;=2,2,1)))</f>
        <v/>
      </c>
      <c r="AS116" s="27" t="n"/>
    </row>
    <row r="117" ht="18" customHeight="1" s="20">
      <c r="A117" s="27" t="n"/>
      <c r="B117" s="27" t="n"/>
      <c r="C117" s="27" t="n"/>
      <c r="D117" s="27" t="n"/>
      <c r="E117" s="27" t="n"/>
      <c r="F117" s="27" t="n"/>
      <c r="G117" s="27" t="n"/>
      <c r="H117" s="28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8" t="n"/>
      <c r="S117" s="27" t="n"/>
      <c r="T117" s="27" t="n"/>
      <c r="U117" s="27" t="n"/>
      <c r="V117" s="27" t="n"/>
      <c r="W117" s="28" t="n"/>
      <c r="X117" s="27" t="n"/>
      <c r="Y117" s="28" t="n"/>
      <c r="Z117" s="28" t="n"/>
      <c r="AA117" s="27" t="n"/>
      <c r="AB117" s="27" t="n"/>
      <c r="AC117" s="27" t="n"/>
      <c r="AD117" s="27" t="n"/>
      <c r="AE117" s="27" t="n"/>
      <c r="AF117" s="27" t="n"/>
      <c r="AG117" s="27" t="n"/>
      <c r="AH117" s="28" t="n"/>
      <c r="AI117" s="27" t="n"/>
      <c r="AJ117" s="27" t="n"/>
      <c r="AK117" s="28" t="n"/>
      <c r="AL117" s="28" t="n"/>
      <c r="AM117" s="29">
        <f>IF($C117="","",COUNTIF(J117:P117,"要支援")+COUNTIF(Q117,"声かけでは変化なし")+COUNTIF(Q117,"支援を拒む・抵抗する")+COUNTIF(S117,"失敗が多い・援助が必要")+COUNTIF(T117,"偏食が強い・援助が必要")+COUNTIF(U117,"手伝いが必要")+COUNTIF(V117,"手伝いが必要")+COUNTIF(AA117,"よくある"))</f>
        <v/>
      </c>
      <c r="AN117" s="29">
        <f>IF($C117="","",COUNTIF(J117:P117,"見守り")+COUNTIF(Q117,"手を添える等が必要")+COUNTIF(S117,"ときどき失敗がある")+COUNTIF(T117,"偏食や時間がかかる")+COUNTIF(U117,"声かけでできる")+COUNTIF(V117,"声かけでできる")+COUNTIF(AA117,"ときどきある"))</f>
        <v/>
      </c>
      <c r="AO117" s="29">
        <f>IF($C117="","",IF(AM117&gt;=2,3,IF(OR(AM117=1,AN117&gt;=3),2,1)))</f>
        <v/>
      </c>
      <c r="AP117" s="27" t="n"/>
      <c r="AQ117" s="29">
        <f>IF($C117="","",COUNTIF(AB117,"非常に多い")+COUNTIF(AC117,"難しい")+COUNTIF(AD117,"不備が多い")+COUNTIF(AE117,"大きな差がある"))</f>
        <v/>
      </c>
      <c r="AR117" s="29">
        <f>IF($C117="","",IF(AQ117&gt;=3,3,IF(AQ117&gt;=2,2,1)))</f>
        <v/>
      </c>
      <c r="AS117" s="27" t="n"/>
    </row>
    <row r="118" ht="18" customHeight="1" s="20">
      <c r="A118" s="27" t="n"/>
      <c r="B118" s="27" t="n"/>
      <c r="C118" s="27" t="n"/>
      <c r="D118" s="27" t="n"/>
      <c r="E118" s="27" t="n"/>
      <c r="F118" s="27" t="n"/>
      <c r="G118" s="27" t="n"/>
      <c r="H118" s="28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8" t="n"/>
      <c r="S118" s="27" t="n"/>
      <c r="T118" s="27" t="n"/>
      <c r="U118" s="27" t="n"/>
      <c r="V118" s="27" t="n"/>
      <c r="W118" s="28" t="n"/>
      <c r="X118" s="27" t="n"/>
      <c r="Y118" s="28" t="n"/>
      <c r="Z118" s="28" t="n"/>
      <c r="AA118" s="27" t="n"/>
      <c r="AB118" s="27" t="n"/>
      <c r="AC118" s="27" t="n"/>
      <c r="AD118" s="27" t="n"/>
      <c r="AE118" s="27" t="n"/>
      <c r="AF118" s="27" t="n"/>
      <c r="AG118" s="27" t="n"/>
      <c r="AH118" s="28" t="n"/>
      <c r="AI118" s="27" t="n"/>
      <c r="AJ118" s="27" t="n"/>
      <c r="AK118" s="28" t="n"/>
      <c r="AL118" s="28" t="n"/>
      <c r="AM118" s="29">
        <f>IF($C118="","",COUNTIF(J118:P118,"要支援")+COUNTIF(Q118,"声かけでは変化なし")+COUNTIF(Q118,"支援を拒む・抵抗する")+COUNTIF(S118,"失敗が多い・援助が必要")+COUNTIF(T118,"偏食が強い・援助が必要")+COUNTIF(U118,"手伝いが必要")+COUNTIF(V118,"手伝いが必要")+COUNTIF(AA118,"よくある"))</f>
        <v/>
      </c>
      <c r="AN118" s="29">
        <f>IF($C118="","",COUNTIF(J118:P118,"見守り")+COUNTIF(Q118,"手を添える等が必要")+COUNTIF(S118,"ときどき失敗がある")+COUNTIF(T118,"偏食や時間がかかる")+COUNTIF(U118,"声かけでできる")+COUNTIF(V118,"声かけでできる")+COUNTIF(AA118,"ときどきある"))</f>
        <v/>
      </c>
      <c r="AO118" s="29">
        <f>IF($C118="","",IF(AM118&gt;=2,3,IF(OR(AM118=1,AN118&gt;=3),2,1)))</f>
        <v/>
      </c>
      <c r="AP118" s="27" t="n"/>
      <c r="AQ118" s="29">
        <f>IF($C118="","",COUNTIF(AB118,"非常に多い")+COUNTIF(AC118,"難しい")+COUNTIF(AD118,"不備が多い")+COUNTIF(AE118,"大きな差がある"))</f>
        <v/>
      </c>
      <c r="AR118" s="29">
        <f>IF($C118="","",IF(AQ118&gt;=3,3,IF(AQ118&gt;=2,2,1)))</f>
        <v/>
      </c>
      <c r="AS118" s="27" t="n"/>
    </row>
    <row r="119" ht="18" customHeight="1" s="20">
      <c r="A119" s="27" t="n"/>
      <c r="B119" s="27" t="n"/>
      <c r="C119" s="27" t="n"/>
      <c r="D119" s="27" t="n"/>
      <c r="E119" s="27" t="n"/>
      <c r="F119" s="27" t="n"/>
      <c r="G119" s="27" t="n"/>
      <c r="H119" s="28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8" t="n"/>
      <c r="S119" s="27" t="n"/>
      <c r="T119" s="27" t="n"/>
      <c r="U119" s="27" t="n"/>
      <c r="V119" s="27" t="n"/>
      <c r="W119" s="28" t="n"/>
      <c r="X119" s="27" t="n"/>
      <c r="Y119" s="28" t="n"/>
      <c r="Z119" s="28" t="n"/>
      <c r="AA119" s="27" t="n"/>
      <c r="AB119" s="27" t="n"/>
      <c r="AC119" s="27" t="n"/>
      <c r="AD119" s="27" t="n"/>
      <c r="AE119" s="27" t="n"/>
      <c r="AF119" s="27" t="n"/>
      <c r="AG119" s="27" t="n"/>
      <c r="AH119" s="28" t="n"/>
      <c r="AI119" s="27" t="n"/>
      <c r="AJ119" s="27" t="n"/>
      <c r="AK119" s="28" t="n"/>
      <c r="AL119" s="28" t="n"/>
      <c r="AM119" s="29">
        <f>IF($C119="","",COUNTIF(J119:P119,"要支援")+COUNTIF(Q119,"声かけでは変化なし")+COUNTIF(Q119,"支援を拒む・抵抗する")+COUNTIF(S119,"失敗が多い・援助が必要")+COUNTIF(T119,"偏食が強い・援助が必要")+COUNTIF(U119,"手伝いが必要")+COUNTIF(V119,"手伝いが必要")+COUNTIF(AA119,"よくある"))</f>
        <v/>
      </c>
      <c r="AN119" s="29">
        <f>IF($C119="","",COUNTIF(J119:P119,"見守り")+COUNTIF(Q119,"手を添える等が必要")+COUNTIF(S119,"ときどき失敗がある")+COUNTIF(T119,"偏食や時間がかかる")+COUNTIF(U119,"声かけでできる")+COUNTIF(V119,"声かけでできる")+COUNTIF(AA119,"ときどきある"))</f>
        <v/>
      </c>
      <c r="AO119" s="29">
        <f>IF($C119="","",IF(AM119&gt;=2,3,IF(OR(AM119=1,AN119&gt;=3),2,1)))</f>
        <v/>
      </c>
      <c r="AP119" s="27" t="n"/>
      <c r="AQ119" s="29">
        <f>IF($C119="","",COUNTIF(AB119,"非常に多い")+COUNTIF(AC119,"難しい")+COUNTIF(AD119,"不備が多い")+COUNTIF(AE119,"大きな差がある"))</f>
        <v/>
      </c>
      <c r="AR119" s="29">
        <f>IF($C119="","",IF(AQ119&gt;=3,3,IF(AQ119&gt;=2,2,1)))</f>
        <v/>
      </c>
      <c r="AS119" s="27" t="n"/>
    </row>
    <row r="120" ht="18" customHeight="1" s="20">
      <c r="A120" s="27" t="n"/>
      <c r="B120" s="27" t="n"/>
      <c r="C120" s="27" t="n"/>
      <c r="D120" s="27" t="n"/>
      <c r="E120" s="27" t="n"/>
      <c r="F120" s="27" t="n"/>
      <c r="G120" s="27" t="n"/>
      <c r="H120" s="28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8" t="n"/>
      <c r="S120" s="27" t="n"/>
      <c r="T120" s="27" t="n"/>
      <c r="U120" s="27" t="n"/>
      <c r="V120" s="27" t="n"/>
      <c r="W120" s="28" t="n"/>
      <c r="X120" s="27" t="n"/>
      <c r="Y120" s="28" t="n"/>
      <c r="Z120" s="28" t="n"/>
      <c r="AA120" s="27" t="n"/>
      <c r="AB120" s="27" t="n"/>
      <c r="AC120" s="27" t="n"/>
      <c r="AD120" s="27" t="n"/>
      <c r="AE120" s="27" t="n"/>
      <c r="AF120" s="27" t="n"/>
      <c r="AG120" s="27" t="n"/>
      <c r="AH120" s="28" t="n"/>
      <c r="AI120" s="27" t="n"/>
      <c r="AJ120" s="27" t="n"/>
      <c r="AK120" s="28" t="n"/>
      <c r="AL120" s="28" t="n"/>
      <c r="AM120" s="29">
        <f>IF($C120="","",COUNTIF(J120:P120,"要支援")+COUNTIF(Q120,"声かけでは変化なし")+COUNTIF(Q120,"支援を拒む・抵抗する")+COUNTIF(S120,"失敗が多い・援助が必要")+COUNTIF(T120,"偏食が強い・援助が必要")+COUNTIF(U120,"手伝いが必要")+COUNTIF(V120,"手伝いが必要")+COUNTIF(AA120,"よくある"))</f>
        <v/>
      </c>
      <c r="AN120" s="29">
        <f>IF($C120="","",COUNTIF(J120:P120,"見守り")+COUNTIF(Q120,"手を添える等が必要")+COUNTIF(S120,"ときどき失敗がある")+COUNTIF(T120,"偏食や時間がかかる")+COUNTIF(U120,"声かけでできる")+COUNTIF(V120,"声かけでできる")+COUNTIF(AA120,"ときどきある"))</f>
        <v/>
      </c>
      <c r="AO120" s="29">
        <f>IF($C120="","",IF(AM120&gt;=2,3,IF(OR(AM120=1,AN120&gt;=3),2,1)))</f>
        <v/>
      </c>
      <c r="AP120" s="27" t="n"/>
      <c r="AQ120" s="29">
        <f>IF($C120="","",COUNTIF(AB120,"非常に多い")+COUNTIF(AC120,"難しい")+COUNTIF(AD120,"不備が多い")+COUNTIF(AE120,"大きな差がある"))</f>
        <v/>
      </c>
      <c r="AR120" s="29">
        <f>IF($C120="","",IF(AQ120&gt;=3,3,IF(AQ120&gt;=2,2,1)))</f>
        <v/>
      </c>
      <c r="AS120" s="27" t="n"/>
    </row>
    <row r="121" ht="18" customHeight="1" s="20">
      <c r="A121" s="27" t="n"/>
      <c r="B121" s="27" t="n"/>
      <c r="C121" s="27" t="n"/>
      <c r="D121" s="27" t="n"/>
      <c r="E121" s="27" t="n"/>
      <c r="F121" s="27" t="n"/>
      <c r="G121" s="27" t="n"/>
      <c r="H121" s="28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8" t="n"/>
      <c r="S121" s="27" t="n"/>
      <c r="T121" s="27" t="n"/>
      <c r="U121" s="27" t="n"/>
      <c r="V121" s="27" t="n"/>
      <c r="W121" s="28" t="n"/>
      <c r="X121" s="27" t="n"/>
      <c r="Y121" s="28" t="n"/>
      <c r="Z121" s="28" t="n"/>
      <c r="AA121" s="27" t="n"/>
      <c r="AB121" s="27" t="n"/>
      <c r="AC121" s="27" t="n"/>
      <c r="AD121" s="27" t="n"/>
      <c r="AE121" s="27" t="n"/>
      <c r="AF121" s="27" t="n"/>
      <c r="AG121" s="27" t="n"/>
      <c r="AH121" s="28" t="n"/>
      <c r="AI121" s="27" t="n"/>
      <c r="AJ121" s="27" t="n"/>
      <c r="AK121" s="28" t="n"/>
      <c r="AL121" s="28" t="n"/>
      <c r="AM121" s="29">
        <f>IF($C121="","",COUNTIF(J121:P121,"要支援")+COUNTIF(Q121,"声かけでは変化なし")+COUNTIF(Q121,"支援を拒む・抵抗する")+COUNTIF(S121,"失敗が多い・援助が必要")+COUNTIF(T121,"偏食が強い・援助が必要")+COUNTIF(U121,"手伝いが必要")+COUNTIF(V121,"手伝いが必要")+COUNTIF(AA121,"よくある"))</f>
        <v/>
      </c>
      <c r="AN121" s="29">
        <f>IF($C121="","",COUNTIF(J121:P121,"見守り")+COUNTIF(Q121,"手を添える等が必要")+COUNTIF(S121,"ときどき失敗がある")+COUNTIF(T121,"偏食や時間がかかる")+COUNTIF(U121,"声かけでできる")+COUNTIF(V121,"声かけでできる")+COUNTIF(AA121,"ときどきある"))</f>
        <v/>
      </c>
      <c r="AO121" s="29">
        <f>IF($C121="","",IF(AM121&gt;=2,3,IF(OR(AM121=1,AN121&gt;=3),2,1)))</f>
        <v/>
      </c>
      <c r="AP121" s="27" t="n"/>
      <c r="AQ121" s="29">
        <f>IF($C121="","",COUNTIF(AB121,"非常に多い")+COUNTIF(AC121,"難しい")+COUNTIF(AD121,"不備が多い")+COUNTIF(AE121,"大きな差がある"))</f>
        <v/>
      </c>
      <c r="AR121" s="29">
        <f>IF($C121="","",IF(AQ121&gt;=3,3,IF(AQ121&gt;=2,2,1)))</f>
        <v/>
      </c>
      <c r="AS121" s="27" t="n"/>
    </row>
    <row r="122" ht="18" customHeight="1" s="20">
      <c r="A122" s="27" t="n"/>
      <c r="B122" s="27" t="n"/>
      <c r="C122" s="27" t="n"/>
      <c r="D122" s="27" t="n"/>
      <c r="E122" s="27" t="n"/>
      <c r="F122" s="27" t="n"/>
      <c r="G122" s="27" t="n"/>
      <c r="H122" s="28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8" t="n"/>
      <c r="S122" s="27" t="n"/>
      <c r="T122" s="27" t="n"/>
      <c r="U122" s="27" t="n"/>
      <c r="V122" s="27" t="n"/>
      <c r="W122" s="28" t="n"/>
      <c r="X122" s="27" t="n"/>
      <c r="Y122" s="28" t="n"/>
      <c r="Z122" s="28" t="n"/>
      <c r="AA122" s="27" t="n"/>
      <c r="AB122" s="27" t="n"/>
      <c r="AC122" s="27" t="n"/>
      <c r="AD122" s="27" t="n"/>
      <c r="AE122" s="27" t="n"/>
      <c r="AF122" s="27" t="n"/>
      <c r="AG122" s="27" t="n"/>
      <c r="AH122" s="28" t="n"/>
      <c r="AI122" s="27" t="n"/>
      <c r="AJ122" s="27" t="n"/>
      <c r="AK122" s="28" t="n"/>
      <c r="AL122" s="28" t="n"/>
      <c r="AM122" s="29">
        <f>IF($C122="","",COUNTIF(J122:P122,"要支援")+COUNTIF(Q122,"声かけでは変化なし")+COUNTIF(Q122,"支援を拒む・抵抗する")+COUNTIF(S122,"失敗が多い・援助が必要")+COUNTIF(T122,"偏食が強い・援助が必要")+COUNTIF(U122,"手伝いが必要")+COUNTIF(V122,"手伝いが必要")+COUNTIF(AA122,"よくある"))</f>
        <v/>
      </c>
      <c r="AN122" s="29">
        <f>IF($C122="","",COUNTIF(J122:P122,"見守り")+COUNTIF(Q122,"手を添える等が必要")+COUNTIF(S122,"ときどき失敗がある")+COUNTIF(T122,"偏食や時間がかかる")+COUNTIF(U122,"声かけでできる")+COUNTIF(V122,"声かけでできる")+COUNTIF(AA122,"ときどきある"))</f>
        <v/>
      </c>
      <c r="AO122" s="29">
        <f>IF($C122="","",IF(AM122&gt;=2,3,IF(OR(AM122=1,AN122&gt;=3),2,1)))</f>
        <v/>
      </c>
      <c r="AP122" s="27" t="n"/>
      <c r="AQ122" s="29">
        <f>IF($C122="","",COUNTIF(AB122,"非常に多い")+COUNTIF(AC122,"難しい")+COUNTIF(AD122,"不備が多い")+COUNTIF(AE122,"大きな差がある"))</f>
        <v/>
      </c>
      <c r="AR122" s="29">
        <f>IF($C122="","",IF(AQ122&gt;=3,3,IF(AQ122&gt;=2,2,1)))</f>
        <v/>
      </c>
      <c r="AS122" s="27" t="n"/>
    </row>
    <row r="123" ht="18" customHeight="1" s="20">
      <c r="A123" s="27" t="n"/>
      <c r="B123" s="27" t="n"/>
      <c r="C123" s="27" t="n"/>
      <c r="D123" s="27" t="n"/>
      <c r="E123" s="27" t="n"/>
      <c r="F123" s="27" t="n"/>
      <c r="G123" s="27" t="n"/>
      <c r="H123" s="28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8" t="n"/>
      <c r="S123" s="27" t="n"/>
      <c r="T123" s="27" t="n"/>
      <c r="U123" s="27" t="n"/>
      <c r="V123" s="27" t="n"/>
      <c r="W123" s="28" t="n"/>
      <c r="X123" s="27" t="n"/>
      <c r="Y123" s="28" t="n"/>
      <c r="Z123" s="28" t="n"/>
      <c r="AA123" s="27" t="n"/>
      <c r="AB123" s="27" t="n"/>
      <c r="AC123" s="27" t="n"/>
      <c r="AD123" s="27" t="n"/>
      <c r="AE123" s="27" t="n"/>
      <c r="AF123" s="27" t="n"/>
      <c r="AG123" s="27" t="n"/>
      <c r="AH123" s="28" t="n"/>
      <c r="AI123" s="27" t="n"/>
      <c r="AJ123" s="27" t="n"/>
      <c r="AK123" s="28" t="n"/>
      <c r="AL123" s="28" t="n"/>
      <c r="AM123" s="29">
        <f>IF($C123="","",COUNTIF(J123:P123,"要支援")+COUNTIF(Q123,"声かけでは変化なし")+COUNTIF(Q123,"支援を拒む・抵抗する")+COUNTIF(S123,"失敗が多い・援助が必要")+COUNTIF(T123,"偏食が強い・援助が必要")+COUNTIF(U123,"手伝いが必要")+COUNTIF(V123,"手伝いが必要")+COUNTIF(AA123,"よくある"))</f>
        <v/>
      </c>
      <c r="AN123" s="29">
        <f>IF($C123="","",COUNTIF(J123:P123,"見守り")+COUNTIF(Q123,"手を添える等が必要")+COUNTIF(S123,"ときどき失敗がある")+COUNTIF(T123,"偏食や時間がかかる")+COUNTIF(U123,"声かけでできる")+COUNTIF(V123,"声かけでできる")+COUNTIF(AA123,"ときどきある"))</f>
        <v/>
      </c>
      <c r="AO123" s="29">
        <f>IF($C123="","",IF(AM123&gt;=2,3,IF(OR(AM123=1,AN123&gt;=3),2,1)))</f>
        <v/>
      </c>
      <c r="AP123" s="27" t="n"/>
      <c r="AQ123" s="29">
        <f>IF($C123="","",COUNTIF(AB123,"非常に多い")+COUNTIF(AC123,"難しい")+COUNTIF(AD123,"不備が多い")+COUNTIF(AE123,"大きな差がある"))</f>
        <v/>
      </c>
      <c r="AR123" s="29">
        <f>IF($C123="","",IF(AQ123&gt;=3,3,IF(AQ123&gt;=2,2,1)))</f>
        <v/>
      </c>
      <c r="AS123" s="27" t="n"/>
    </row>
    <row r="124" ht="18" customHeight="1" s="20">
      <c r="A124" s="27" t="n"/>
      <c r="B124" s="27" t="n"/>
      <c r="C124" s="27" t="n"/>
      <c r="D124" s="27" t="n"/>
      <c r="E124" s="27" t="n"/>
      <c r="F124" s="27" t="n"/>
      <c r="G124" s="27" t="n"/>
      <c r="H124" s="28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8" t="n"/>
      <c r="S124" s="27" t="n"/>
      <c r="T124" s="27" t="n"/>
      <c r="U124" s="27" t="n"/>
      <c r="V124" s="27" t="n"/>
      <c r="W124" s="28" t="n"/>
      <c r="X124" s="27" t="n"/>
      <c r="Y124" s="28" t="n"/>
      <c r="Z124" s="28" t="n"/>
      <c r="AA124" s="27" t="n"/>
      <c r="AB124" s="27" t="n"/>
      <c r="AC124" s="27" t="n"/>
      <c r="AD124" s="27" t="n"/>
      <c r="AE124" s="27" t="n"/>
      <c r="AF124" s="27" t="n"/>
      <c r="AG124" s="27" t="n"/>
      <c r="AH124" s="28" t="n"/>
      <c r="AI124" s="27" t="n"/>
      <c r="AJ124" s="27" t="n"/>
      <c r="AK124" s="28" t="n"/>
      <c r="AL124" s="28" t="n"/>
      <c r="AM124" s="29">
        <f>IF($C124="","",COUNTIF(J124:P124,"要支援")+COUNTIF(Q124,"声かけでは変化なし")+COUNTIF(Q124,"支援を拒む・抵抗する")+COUNTIF(S124,"失敗が多い・援助が必要")+COUNTIF(T124,"偏食が強い・援助が必要")+COUNTIF(U124,"手伝いが必要")+COUNTIF(V124,"手伝いが必要")+COUNTIF(AA124,"よくある"))</f>
        <v/>
      </c>
      <c r="AN124" s="29">
        <f>IF($C124="","",COUNTIF(J124:P124,"見守り")+COUNTIF(Q124,"手を添える等が必要")+COUNTIF(S124,"ときどき失敗がある")+COUNTIF(T124,"偏食や時間がかかる")+COUNTIF(U124,"声かけでできる")+COUNTIF(V124,"声かけでできる")+COUNTIF(AA124,"ときどきある"))</f>
        <v/>
      </c>
      <c r="AO124" s="29">
        <f>IF($C124="","",IF(AM124&gt;=2,3,IF(OR(AM124=1,AN124&gt;=3),2,1)))</f>
        <v/>
      </c>
      <c r="AP124" s="27" t="n"/>
      <c r="AQ124" s="29">
        <f>IF($C124="","",COUNTIF(AB124,"非常に多い")+COUNTIF(AC124,"難しい")+COUNTIF(AD124,"不備が多い")+COUNTIF(AE124,"大きな差がある"))</f>
        <v/>
      </c>
      <c r="AR124" s="29">
        <f>IF($C124="","",IF(AQ124&gt;=3,3,IF(AQ124&gt;=2,2,1)))</f>
        <v/>
      </c>
      <c r="AS124" s="27" t="n"/>
    </row>
    <row r="126" ht="21.75" customHeight="1" s="20">
      <c r="A126" s="31" t="inlineStr">
        <is>
          <t>【判定ルール】配慮レベル：Ａ行動・発達（支援への反応を含む）・Ｂ生活面・Ｃトラブルの傾向で、「要支援／よくある／変化なし・拒む」を◎、「見守り／ときどき／手を添える」を○として数え、◎2以上→3、◎1または○3以上→2、それ以外→1。保護者対応レベル：Ｅ欄4項目（連絡・伝達・提出物・認識の差）の最も重い選択肢（◎）の数で、3以上→3、2以上→2、それ以外→1。該当がない項目は「―」や「なし」を選んでください（空欄だと「該当なし」か「聞き忘れ」か区別できません）。入力後は学級編制アプリの「Excelから取込」で読み込めます。</t>
        </is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3" t="n"/>
    </row>
    <row r="127" ht="21.75" customHeight="1" s="20">
      <c r="A127" s="34" t="n"/>
      <c r="N127" s="35" t="n"/>
    </row>
    <row r="128" ht="21.75" customHeight="1" s="20">
      <c r="A128" s="36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8" t="n"/>
    </row>
  </sheetData>
  <mergeCells count="8">
    <mergeCell ref="X3:AA3"/>
    <mergeCell ref="AB3:AH3"/>
    <mergeCell ref="A126:N128"/>
    <mergeCell ref="AI3:AL3"/>
    <mergeCell ref="A3:I3"/>
    <mergeCell ref="AM3:AS3"/>
    <mergeCell ref="J3:R3"/>
    <mergeCell ref="S3:W3"/>
  </mergeCells>
  <dataValidations count="17">
    <dataValidation sqref="E5:E124" showDropDown="0" showInputMessage="0" showErrorMessage="0" allowBlank="1" type="list" errorStyle="stop" operator="between">
      <formula1>"男,女"</formula1>
      <formula2>0</formula2>
    </dataValidation>
    <dataValidation sqref="I5:I124" showDropDown="0" showInputMessage="0" showErrorMessage="0" allowBlank="1" type="list" errorStyle="stop" operator="between">
      <formula1>"通常学級,特別支援（知的）,特別支援（情緒）,その他（対象外）"</formula1>
      <formula2>0</formula2>
    </dataValidation>
    <dataValidation sqref="J5:P124" showDropDown="0" showInputMessage="0" showErrorMessage="0" allowBlank="1" type="list" errorStyle="stop" operator="between">
      <formula1>"―,見守り,要支援"</formula1>
      <formula2>0</formula2>
    </dataValidation>
    <dataValidation sqref="Q5:Q124" showDropDown="0" showInputMessage="0" showErrorMessage="0" allowBlank="1" type="list" errorStyle="stop" operator="between">
      <formula1>"声かけで戻れる,手を添える等が必要,声かけでは変化なし,支援を拒む・抵抗する"</formula1>
      <formula2>0</formula2>
    </dataValidation>
    <dataValidation sqref="X5:X124 AI5:AI124" showDropDown="0" showInputMessage="0" showErrorMessage="0" allowBlank="1" type="list" errorStyle="stop" operator="between">
      <formula1>"いいえ,はい"</formula1>
      <formula2>0</formula2>
    </dataValidation>
    <dataValidation sqref="AA5:AA124" showDropDown="0" showInputMessage="0" showErrorMessage="0" allowBlank="1" type="list" errorStyle="stop" operator="between">
      <formula1>"なし,ときどきある,よくある"</formula1>
      <formula2>0</formula2>
    </dataValidation>
    <dataValidation sqref="AB5:AB124" showDropDown="0" showInputMessage="0" showErrorMessage="0" allowBlank="1" type="list" errorStyle="stop" operator="between">
      <formula1>"少ない,普通,多い,非常に多い"</formula1>
      <formula2>0</formula2>
    </dataValidation>
    <dataValidation sqref="AC5:AC124" showDropDown="0" showInputMessage="0" showErrorMessage="0" allowBlank="1" type="list" errorStyle="stop" operator="between">
      <formula1>"伝わりやすい,ときどき難しい,難しい"</formula1>
      <formula2>0</formula2>
    </dataValidation>
    <dataValidation sqref="AD5:AD124" showDropDown="0" showInputMessage="0" showErrorMessage="0" allowBlank="1" type="list" errorStyle="stop" operator="between">
      <formula1>"安定している,ときどき不備,不備が多い"</formula1>
      <formula2>0</formula2>
    </dataValidation>
    <dataValidation sqref="AE5:AE124" showDropDown="0" showInputMessage="0" showErrorMessage="0" allowBlank="1" type="list" errorStyle="stop" operator="between">
      <formula1>"共有できている,やや差がある,大きな差がある"</formula1>
      <formula2>0</formula2>
    </dataValidation>
    <dataValidation sqref="AF5:AF124" showDropDown="0" showInputMessage="0" showErrorMessage="0" allowBlank="1" type="list" errorStyle="stop" operator="between">
      <formula1>"なし,あり（過去）,あり（継続中）"</formula1>
      <formula2>0</formula2>
    </dataValidation>
    <dataValidation sqref="AJ5:AJ124" showDropDown="0" showInputMessage="0" showErrorMessage="0" allowBlank="1" type="list" errorStyle="stop" operator="between">
      <formula1>"なし,あり"</formula1>
      <formula2>0</formula2>
    </dataValidation>
    <dataValidation sqref="AP5:AP124 AS5:AS124" showDropDown="0" showInputMessage="0" showErrorMessage="0" allowBlank="1" type="list" errorStyle="stop" operator="between">
      <formula1>"1,2,3"</formula1>
      <formula2>0</formula2>
    </dataValidation>
    <dataValidation sqref="S5:S124" showDropDown="0" showInputMessage="0" showErrorMessage="0" allowBlank="1" type="list">
      <formula1>"自立している,ときどき失敗がある,失敗が多い・援助が必要"</formula1>
    </dataValidation>
    <dataValidation sqref="T5:T124" showDropDown="0" showInputMessage="0" showErrorMessage="0" allowBlank="1" type="list">
      <formula1>"心配なし,偏食や時間がかかる,偏食が強い・援助が必要"</formula1>
    </dataValidation>
    <dataValidation sqref="U5:U124" showDropDown="0" showInputMessage="0" showErrorMessage="0" allowBlank="1" type="list">
      <formula1>"自分でできる,声かけでできる,手伝いが必要"</formula1>
    </dataValidation>
    <dataValidation sqref="V5:V124" showDropDown="0" showInputMessage="0" showErrorMessage="0" allowBlank="1" type="list">
      <formula1>"自分でできる,声かけでできる,手伝いが必要"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26" customWidth="1" style="19" min="1" max="1"/>
    <col width="30" customWidth="1" style="19" min="2" max="2"/>
    <col width="56" customWidth="1" style="19" min="3" max="3"/>
  </cols>
  <sheetData>
    <row r="1" ht="15" customHeight="1" s="20">
      <c r="A1" s="39" t="inlineStr">
        <is>
          <t>記入例（架空の児童です。この行は取り込まれません。実際の入力は「①引継ぎ入力」シートへ）</t>
        </is>
      </c>
    </row>
    <row r="3" ht="15" customHeight="1" s="20">
      <c r="A3" s="40" t="inlineStr">
        <is>
          <t>項目</t>
        </is>
      </c>
      <c r="B3" s="40" t="inlineStr">
        <is>
          <t>記入例</t>
        </is>
      </c>
      <c r="C3" s="40" t="inlineStr">
        <is>
          <t>メモ</t>
        </is>
      </c>
    </row>
    <row r="4" ht="15" customHeight="1" s="20">
      <c r="A4" s="41" t="inlineStr">
        <is>
          <t>ID</t>
        </is>
      </c>
      <c r="B4" s="42" t="n">
        <v>1</v>
      </c>
      <c r="C4" s="43" t="inlineStr">
        <is>
          <t>通し番号（重複しないように）</t>
        </is>
      </c>
    </row>
    <row r="5" ht="15" customHeight="1" s="20">
      <c r="A5" s="43" t="inlineStr">
        <is>
          <t>かな氏名</t>
        </is>
      </c>
      <c r="B5" s="44" t="inlineStr">
        <is>
          <t>やまだ　はなこ</t>
        </is>
      </c>
      <c r="C5" s="43" t="n"/>
    </row>
    <row r="6" ht="15" customHeight="1" s="20">
      <c r="A6" s="43" t="inlineStr">
        <is>
          <t>漢字氏名</t>
        </is>
      </c>
      <c r="B6" s="44" t="inlineStr">
        <is>
          <t>山田　花子</t>
        </is>
      </c>
      <c r="C6" s="43" t="n"/>
    </row>
    <row r="7" ht="15" customHeight="1" s="20">
      <c r="A7" s="43" t="inlineStr">
        <is>
          <t>生年月日</t>
        </is>
      </c>
      <c r="B7" s="42" t="inlineStr">
        <is>
          <t>R2.1.15</t>
        </is>
      </c>
      <c r="C7" s="43" t="inlineStr">
        <is>
          <t>和暦（R2.1.15）でも西暦（2020/1/15）でも可</t>
        </is>
      </c>
    </row>
    <row r="8" ht="15" customHeight="1" s="20">
      <c r="A8" s="43" t="inlineStr">
        <is>
          <t>性別</t>
        </is>
      </c>
      <c r="B8" s="44" t="inlineStr">
        <is>
          <t>女</t>
        </is>
      </c>
      <c r="C8" s="43" t="inlineStr">
        <is>
          <t>プルダウン</t>
        </is>
      </c>
    </row>
    <row r="9" ht="15" customHeight="1" s="20">
      <c r="A9" s="43" t="inlineStr">
        <is>
          <t>所属園</t>
        </is>
      </c>
      <c r="B9" s="44" t="inlineStr">
        <is>
          <t>〇〇保育園</t>
        </is>
      </c>
      <c r="C9" s="43" t="n"/>
    </row>
    <row r="10" ht="15" customHeight="1" s="20">
      <c r="A10" s="43" t="inlineStr">
        <is>
          <t>保護者氏名</t>
        </is>
      </c>
      <c r="B10" s="44" t="inlineStr">
        <is>
          <t>山田　太郎</t>
        </is>
      </c>
      <c r="C10" s="43" t="n"/>
    </row>
    <row r="11" ht="15" customHeight="1" s="20">
      <c r="A11" s="43" t="inlineStr">
        <is>
          <t>住所</t>
        </is>
      </c>
      <c r="B11" s="44" t="inlineStr">
        <is>
          <t>〇〇町３丁目１番１号</t>
        </is>
      </c>
      <c r="C11" s="43" t="inlineStr">
        <is>
          <t>「○丁目」まで入れると下校グループに自動で分かれます</t>
        </is>
      </c>
    </row>
    <row r="12" ht="15" customHeight="1" s="20">
      <c r="A12" s="43" t="inlineStr">
        <is>
          <t>就学先</t>
        </is>
      </c>
      <c r="B12" s="44" t="inlineStr">
        <is>
          <t>通常学級</t>
        </is>
      </c>
      <c r="C12" s="43" t="inlineStr">
        <is>
          <t>特別支援学級の児童は編制の対象外になります</t>
        </is>
      </c>
    </row>
    <row r="13" ht="15" customHeight="1" s="20">
      <c r="A13" s="43" t="inlineStr">
        <is>
          <t>多動・注意散漫</t>
        </is>
      </c>
      <c r="B13" s="44" t="inlineStr">
        <is>
          <t>見守り</t>
        </is>
      </c>
      <c r="C13" s="43" t="inlineStr">
        <is>
          <t>Ａ欄は「―／見守り(○)／要支援(◎)」</t>
        </is>
      </c>
    </row>
    <row r="14" ht="15" customHeight="1" s="20">
      <c r="A14" s="43" t="inlineStr">
        <is>
          <t>支援への反応</t>
        </is>
      </c>
      <c r="B14" s="44" t="inlineStr">
        <is>
          <t>声かけで戻れる</t>
        </is>
      </c>
      <c r="C14" s="43" t="n"/>
    </row>
    <row r="15" ht="15" customHeight="1" s="20">
      <c r="A15" s="43" t="inlineStr">
        <is>
          <t>食事</t>
        </is>
      </c>
      <c r="B15" s="44" t="inlineStr">
        <is>
          <t>偏食や時間がかかる</t>
        </is>
      </c>
      <c r="C15" s="43" t="inlineStr">
        <is>
          <t>Ｂ欄は項目ごとに3段階（例：食事は「心配なし／偏食や時間がかかる(○)／偏食が強い・援助が必要(◎)」）</t>
        </is>
      </c>
    </row>
    <row r="16" ht="15" customHeight="1" s="20">
      <c r="A16" s="43" t="inlineStr">
        <is>
          <t>リーダー性</t>
        </is>
      </c>
      <c r="B16" s="44" t="inlineStr">
        <is>
          <t>はい</t>
        </is>
      </c>
      <c r="C16" s="43" t="n"/>
    </row>
    <row r="17" ht="15" customHeight="1" s="20">
      <c r="A17" s="43" t="inlineStr">
        <is>
          <t>仲の良い子（氏名）</t>
        </is>
      </c>
      <c r="B17" s="44" t="inlineStr">
        <is>
          <t>佐藤　一郎</t>
        </is>
      </c>
      <c r="C17" s="43" t="inlineStr">
        <is>
          <t>複数のときは「、」で区切る。名簿の氏名と同じ表記で</t>
        </is>
      </c>
    </row>
    <row r="18" ht="15" customHeight="1" s="20">
      <c r="A18" s="43" t="inlineStr">
        <is>
          <t>離したほうがよい子（氏名）</t>
        </is>
      </c>
      <c r="B18" s="44" t="inlineStr">
        <is>
          <t>鈴木　次郎</t>
        </is>
      </c>
      <c r="C18" s="43" t="inlineStr">
        <is>
          <t>必ず別の学級になります</t>
        </is>
      </c>
    </row>
    <row r="19" ht="15" customHeight="1" s="20">
      <c r="A19" s="43" t="inlineStr">
        <is>
          <t>トラブルの傾向</t>
        </is>
      </c>
      <c r="B19" s="44" t="inlineStr">
        <is>
          <t>なし</t>
        </is>
      </c>
      <c r="C19" s="43" t="n"/>
    </row>
    <row r="20" ht="15" customHeight="1" s="20">
      <c r="A20" s="43" t="inlineStr">
        <is>
          <t>連絡・要望の頻度</t>
        </is>
      </c>
      <c r="B20" s="44" t="inlineStr">
        <is>
          <t>普通</t>
        </is>
      </c>
      <c r="C20" s="43" t="inlineStr">
        <is>
          <t>Ｅ欄は最も重い選択肢だけが判定に使われます</t>
        </is>
      </c>
    </row>
    <row r="21" ht="15" customHeight="1" s="20">
      <c r="A21" s="43" t="inlineStr">
        <is>
          <t>特に気をつけてほしい児童</t>
        </is>
      </c>
      <c r="B21" s="44" t="inlineStr">
        <is>
          <t>いいえ</t>
        </is>
      </c>
      <c r="C21" s="43" t="n"/>
    </row>
    <row r="22" ht="15" customHeight="1" s="20">
      <c r="A22" s="43" t="inlineStr">
        <is>
          <t>支援機関の利用</t>
        </is>
      </c>
      <c r="B22" s="44" t="inlineStr">
        <is>
          <t>なし</t>
        </is>
      </c>
      <c r="C22" s="43" t="n"/>
    </row>
    <row r="23" ht="15" customHeight="1" s="20">
      <c r="A23" s="43" t="inlineStr">
        <is>
          <t>園から特に伝えたいこと</t>
        </is>
      </c>
      <c r="B23" s="44" t="inlineStr">
        <is>
          <t>友達に優しく、片付けが得意。</t>
        </is>
      </c>
      <c r="C23" s="43" t="inlineStr">
        <is>
          <t>良さ・強みも書く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教務部</dc:creator>
  <dc:language xmlns:dc="http://purl.org/dc/elements/1.1/">en-US</dc:language>
  <dcterms:created xmlns:dcterms="http://purl.org/dc/terms/" xmlns:xsi="http://www.w3.org/2001/XMLSchema-instance" xsi:type="dcterms:W3CDTF">2025-09-08T04:37:50Z</dcterms:created>
  <dcterms:modified xmlns:dcterms="http://purl.org/dc/terms/" xmlns:xsi="http://www.w3.org/2001/XMLSchema-instance" xsi:type="dcterms:W3CDTF">2026-10-13T07:21:55Z</dcterms:modified>
  <cp:lastModifiedBy>教務部</cp:lastModifiedBy>
  <cp:revision>0</cp:revision>
  <cp:lastPrinted>2026-03-26T00:30:35Z</cp:lastPrinted>
</cp:coreProperties>
</file>